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D:\2020\2020-012 PAKTAT TAŞYAPI KONYA\"/>
    </mc:Choice>
  </mc:AlternateContent>
  <xr:revisionPtr revIDLastSave="0" documentId="13_ncr:1_{E0BDFDBB-009D-4C52-A74A-3FE23585730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42-000000024-YH" sheetId="1" r:id="rId1"/>
    <sheet name="42-000000024-YH (2)" sheetId="2" r:id="rId2"/>
  </sheets>
  <functionGroups builtInGroupCount="19"/>
  <definedNames>
    <definedName name="EXTRA" localSheetId="0">'42-000000024-YH'!$V$218</definedName>
    <definedName name="EXTRA" localSheetId="1">'42-000000024-YH (2)'!$V$218</definedName>
    <definedName name="ISKINTO_STR" localSheetId="0">'42-000000024-YH'!$V$214</definedName>
    <definedName name="ISKINTO_STR" localSheetId="1">'42-000000024-YH (2)'!$V$214</definedName>
    <definedName name="KDV_STR" localSheetId="0">'42-000000024-YH'!$V$215</definedName>
    <definedName name="KDV_STR" localSheetId="1">'42-000000024-YH (2)'!$V$215</definedName>
    <definedName name="NKL_STR" localSheetId="0">'42-000000024-YH'!$V$216</definedName>
    <definedName name="NKL_STR" localSheetId="1">'42-000000024-YH (2)'!$V$216</definedName>
    <definedName name="NKL_TOT_STR" localSheetId="0">'42-000000024-YH'!$V$217</definedName>
    <definedName name="NKL_TOT_STR" localSheetId="1">'42-000000024-YH (2)'!$V$217</definedName>
    <definedName name="SON_TOT_STR" localSheetId="0">'42-000000024-YH'!$V$219</definedName>
    <definedName name="SON_TOT_STR" localSheetId="1">'42-000000024-YH (2)'!$V$219</definedName>
    <definedName name="TOTAL_STR" localSheetId="0">'42-000000024-YH'!$V$213</definedName>
    <definedName name="TOTAL_STR" localSheetId="1">'42-000000024-YH (2)'!$V$213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11" i="2" l="1"/>
  <c r="T211" i="2"/>
  <c r="S211" i="2"/>
  <c r="Q211" i="2"/>
  <c r="I211" i="2"/>
  <c r="G211" i="2"/>
  <c r="V209" i="2"/>
  <c r="T209" i="2"/>
  <c r="S209" i="2"/>
  <c r="Q209" i="2"/>
  <c r="I209" i="2"/>
  <c r="G209" i="2"/>
  <c r="V207" i="2"/>
  <c r="T207" i="2"/>
  <c r="S207" i="2"/>
  <c r="Q207" i="2"/>
  <c r="I207" i="2"/>
  <c r="G207" i="2"/>
  <c r="V205" i="2"/>
  <c r="T205" i="2"/>
  <c r="S205" i="2"/>
  <c r="Q205" i="2"/>
  <c r="I205" i="2"/>
  <c r="G205" i="2"/>
  <c r="V203" i="2"/>
  <c r="T203" i="2"/>
  <c r="S203" i="2"/>
  <c r="Q203" i="2"/>
  <c r="I203" i="2"/>
  <c r="G203" i="2"/>
  <c r="V201" i="2"/>
  <c r="T201" i="2"/>
  <c r="S201" i="2"/>
  <c r="Q201" i="2"/>
  <c r="I201" i="2"/>
  <c r="G201" i="2"/>
  <c r="V199" i="2"/>
  <c r="T199" i="2"/>
  <c r="S199" i="2"/>
  <c r="Q199" i="2"/>
  <c r="I199" i="2"/>
  <c r="G199" i="2"/>
  <c r="V197" i="2"/>
  <c r="T197" i="2"/>
  <c r="S197" i="2"/>
  <c r="Q197" i="2"/>
  <c r="I197" i="2"/>
  <c r="G197" i="2"/>
  <c r="V195" i="2"/>
  <c r="T195" i="2"/>
  <c r="S195" i="2"/>
  <c r="Q195" i="2"/>
  <c r="I195" i="2"/>
  <c r="G195" i="2"/>
  <c r="V191" i="2"/>
  <c r="T191" i="2"/>
  <c r="S191" i="2"/>
  <c r="Q191" i="2"/>
  <c r="I191" i="2"/>
  <c r="G191" i="2"/>
  <c r="V189" i="2"/>
  <c r="T189" i="2"/>
  <c r="S189" i="2"/>
  <c r="Q189" i="2"/>
  <c r="I189" i="2"/>
  <c r="G189" i="2"/>
  <c r="V187" i="2"/>
  <c r="T187" i="2"/>
  <c r="S187" i="2"/>
  <c r="Q187" i="2"/>
  <c r="I187" i="2"/>
  <c r="G187" i="2"/>
  <c r="V185" i="2"/>
  <c r="T185" i="2"/>
  <c r="S185" i="2"/>
  <c r="Q185" i="2"/>
  <c r="I185" i="2"/>
  <c r="G185" i="2"/>
  <c r="V183" i="2"/>
  <c r="T183" i="2"/>
  <c r="S183" i="2"/>
  <c r="Q183" i="2"/>
  <c r="I183" i="2"/>
  <c r="G183" i="2"/>
  <c r="V181" i="2"/>
  <c r="T181" i="2"/>
  <c r="S181" i="2"/>
  <c r="Q181" i="2"/>
  <c r="I181" i="2"/>
  <c r="G181" i="2"/>
  <c r="V179" i="2"/>
  <c r="T179" i="2"/>
  <c r="S179" i="2"/>
  <c r="Q179" i="2"/>
  <c r="I179" i="2"/>
  <c r="G179" i="2"/>
  <c r="V177" i="2"/>
  <c r="T177" i="2"/>
  <c r="S177" i="2"/>
  <c r="Q177" i="2"/>
  <c r="I177" i="2"/>
  <c r="G177" i="2"/>
  <c r="V175" i="2"/>
  <c r="T175" i="2"/>
  <c r="S175" i="2"/>
  <c r="Q175" i="2"/>
  <c r="I175" i="2"/>
  <c r="G175" i="2"/>
  <c r="V173" i="2"/>
  <c r="T173" i="2"/>
  <c r="S173" i="2"/>
  <c r="Q173" i="2"/>
  <c r="I173" i="2"/>
  <c r="G173" i="2"/>
  <c r="V171" i="2"/>
  <c r="T171" i="2"/>
  <c r="S171" i="2"/>
  <c r="Q171" i="2"/>
  <c r="I171" i="2"/>
  <c r="G171" i="2"/>
  <c r="V169" i="2"/>
  <c r="T169" i="2"/>
  <c r="S169" i="2"/>
  <c r="Q169" i="2"/>
  <c r="I169" i="2"/>
  <c r="G169" i="2"/>
  <c r="V167" i="2"/>
  <c r="T167" i="2"/>
  <c r="S167" i="2"/>
  <c r="Q167" i="2"/>
  <c r="I167" i="2"/>
  <c r="G167" i="2"/>
  <c r="V165" i="2"/>
  <c r="T165" i="2"/>
  <c r="S165" i="2"/>
  <c r="Q165" i="2"/>
  <c r="I165" i="2"/>
  <c r="G165" i="2"/>
  <c r="T161" i="2"/>
  <c r="S161" i="2"/>
  <c r="Q161" i="2"/>
  <c r="I161" i="2"/>
  <c r="G161" i="2"/>
  <c r="T159" i="2"/>
  <c r="S159" i="2"/>
  <c r="Q159" i="2"/>
  <c r="I159" i="2"/>
  <c r="G159" i="2"/>
  <c r="T157" i="2"/>
  <c r="S157" i="2"/>
  <c r="Q157" i="2"/>
  <c r="I157" i="2"/>
  <c r="G157" i="2"/>
  <c r="V153" i="2"/>
  <c r="T153" i="2"/>
  <c r="S153" i="2"/>
  <c r="Q153" i="2"/>
  <c r="I153" i="2"/>
  <c r="G153" i="2"/>
  <c r="V151" i="2"/>
  <c r="T151" i="2"/>
  <c r="S151" i="2"/>
  <c r="Q151" i="2"/>
  <c r="I151" i="2"/>
  <c r="G151" i="2"/>
  <c r="V149" i="2"/>
  <c r="T149" i="2"/>
  <c r="S149" i="2"/>
  <c r="Q149" i="2"/>
  <c r="I149" i="2"/>
  <c r="G149" i="2"/>
  <c r="V147" i="2"/>
  <c r="T147" i="2"/>
  <c r="S147" i="2"/>
  <c r="Q147" i="2"/>
  <c r="I147" i="2"/>
  <c r="G147" i="2"/>
  <c r="V145" i="2"/>
  <c r="T145" i="2"/>
  <c r="S145" i="2"/>
  <c r="Q145" i="2"/>
  <c r="I145" i="2"/>
  <c r="G145" i="2"/>
  <c r="V143" i="2"/>
  <c r="T143" i="2"/>
  <c r="S143" i="2"/>
  <c r="Q143" i="2"/>
  <c r="I143" i="2"/>
  <c r="G143" i="2"/>
  <c r="V141" i="2"/>
  <c r="T141" i="2"/>
  <c r="S141" i="2"/>
  <c r="Q141" i="2"/>
  <c r="I141" i="2"/>
  <c r="G141" i="2"/>
  <c r="V139" i="2"/>
  <c r="T139" i="2"/>
  <c r="S139" i="2"/>
  <c r="Q139" i="2"/>
  <c r="I139" i="2"/>
  <c r="G139" i="2"/>
  <c r="V137" i="2"/>
  <c r="T137" i="2"/>
  <c r="S137" i="2"/>
  <c r="Q137" i="2"/>
  <c r="I137" i="2"/>
  <c r="G137" i="2"/>
  <c r="V135" i="2"/>
  <c r="T135" i="2"/>
  <c r="S135" i="2"/>
  <c r="Q135" i="2"/>
  <c r="I135" i="2"/>
  <c r="G135" i="2"/>
  <c r="V133" i="2"/>
  <c r="T133" i="2"/>
  <c r="S133" i="2"/>
  <c r="Q133" i="2"/>
  <c r="I133" i="2"/>
  <c r="G133" i="2"/>
  <c r="V131" i="2"/>
  <c r="T131" i="2"/>
  <c r="S131" i="2"/>
  <c r="Q131" i="2"/>
  <c r="I131" i="2"/>
  <c r="G131" i="2"/>
  <c r="V129" i="2"/>
  <c r="T129" i="2"/>
  <c r="S129" i="2"/>
  <c r="Q129" i="2"/>
  <c r="I129" i="2"/>
  <c r="G129" i="2"/>
  <c r="V127" i="2"/>
  <c r="T127" i="2"/>
  <c r="S127" i="2"/>
  <c r="Q127" i="2"/>
  <c r="I127" i="2"/>
  <c r="G127" i="2"/>
  <c r="V125" i="2"/>
  <c r="T125" i="2"/>
  <c r="S125" i="2"/>
  <c r="Q125" i="2"/>
  <c r="I125" i="2"/>
  <c r="G125" i="2"/>
  <c r="V123" i="2"/>
  <c r="T123" i="2"/>
  <c r="S123" i="2"/>
  <c r="Q123" i="2"/>
  <c r="I123" i="2"/>
  <c r="G123" i="2"/>
  <c r="V121" i="2"/>
  <c r="T121" i="2"/>
  <c r="S121" i="2"/>
  <c r="Q121" i="2"/>
  <c r="I121" i="2"/>
  <c r="G121" i="2"/>
  <c r="V119" i="2"/>
  <c r="T119" i="2"/>
  <c r="S119" i="2"/>
  <c r="Q119" i="2"/>
  <c r="I119" i="2"/>
  <c r="G119" i="2"/>
  <c r="V117" i="2"/>
  <c r="T117" i="2"/>
  <c r="S117" i="2"/>
  <c r="Q117" i="2"/>
  <c r="I117" i="2"/>
  <c r="G117" i="2"/>
  <c r="V113" i="2"/>
  <c r="T113" i="2"/>
  <c r="S113" i="2"/>
  <c r="Q113" i="2"/>
  <c r="I113" i="2"/>
  <c r="G113" i="2"/>
  <c r="V111" i="2"/>
  <c r="T111" i="2"/>
  <c r="S111" i="2"/>
  <c r="Q111" i="2"/>
  <c r="I111" i="2"/>
  <c r="G111" i="2"/>
  <c r="V109" i="2"/>
  <c r="T109" i="2"/>
  <c r="S109" i="2"/>
  <c r="Q109" i="2"/>
  <c r="I109" i="2"/>
  <c r="G109" i="2"/>
  <c r="V107" i="2"/>
  <c r="T107" i="2"/>
  <c r="S107" i="2"/>
  <c r="Q107" i="2"/>
  <c r="I107" i="2"/>
  <c r="G107" i="2"/>
  <c r="V105" i="2"/>
  <c r="T105" i="2"/>
  <c r="S105" i="2"/>
  <c r="Q105" i="2"/>
  <c r="I105" i="2"/>
  <c r="G105" i="2"/>
  <c r="V103" i="2"/>
  <c r="T103" i="2"/>
  <c r="S103" i="2"/>
  <c r="Q103" i="2"/>
  <c r="I103" i="2"/>
  <c r="G103" i="2"/>
  <c r="V101" i="2"/>
  <c r="T101" i="2"/>
  <c r="S101" i="2"/>
  <c r="Q101" i="2"/>
  <c r="I101" i="2"/>
  <c r="G101" i="2"/>
  <c r="V99" i="2"/>
  <c r="T99" i="2"/>
  <c r="S99" i="2"/>
  <c r="Q99" i="2"/>
  <c r="I99" i="2"/>
  <c r="G99" i="2"/>
  <c r="V97" i="2"/>
  <c r="T97" i="2"/>
  <c r="S97" i="2"/>
  <c r="Q97" i="2"/>
  <c r="I97" i="2"/>
  <c r="G97" i="2"/>
  <c r="V95" i="2"/>
  <c r="T95" i="2"/>
  <c r="S95" i="2"/>
  <c r="Q95" i="2"/>
  <c r="I95" i="2"/>
  <c r="G95" i="2"/>
  <c r="V93" i="2"/>
  <c r="T93" i="2"/>
  <c r="S93" i="2"/>
  <c r="Q93" i="2"/>
  <c r="I93" i="2"/>
  <c r="G93" i="2"/>
  <c r="V90" i="2"/>
  <c r="T90" i="2"/>
  <c r="S90" i="2"/>
  <c r="Q90" i="2"/>
  <c r="I90" i="2"/>
  <c r="G90" i="2"/>
  <c r="V89" i="2"/>
  <c r="T89" i="2"/>
  <c r="S89" i="2"/>
  <c r="Q89" i="2"/>
  <c r="I89" i="2"/>
  <c r="G89" i="2"/>
  <c r="V88" i="2"/>
  <c r="T88" i="2"/>
  <c r="S88" i="2"/>
  <c r="Q88" i="2"/>
  <c r="I88" i="2"/>
  <c r="G88" i="2"/>
  <c r="V87" i="2"/>
  <c r="T87" i="2"/>
  <c r="S87" i="2"/>
  <c r="Q87" i="2"/>
  <c r="I87" i="2"/>
  <c r="G87" i="2"/>
  <c r="V86" i="2"/>
  <c r="T86" i="2"/>
  <c r="S86" i="2"/>
  <c r="Q86" i="2"/>
  <c r="I86" i="2"/>
  <c r="G86" i="2"/>
  <c r="V85" i="2"/>
  <c r="T85" i="2"/>
  <c r="S85" i="2"/>
  <c r="Q85" i="2"/>
  <c r="I85" i="2"/>
  <c r="G85" i="2"/>
  <c r="V84" i="2"/>
  <c r="T84" i="2"/>
  <c r="S84" i="2"/>
  <c r="Q84" i="2"/>
  <c r="I84" i="2"/>
  <c r="G84" i="2"/>
  <c r="V83" i="2"/>
  <c r="T83" i="2"/>
  <c r="S83" i="2"/>
  <c r="Q83" i="2"/>
  <c r="I83" i="2"/>
  <c r="G83" i="2"/>
  <c r="V82" i="2"/>
  <c r="T82" i="2"/>
  <c r="S82" i="2"/>
  <c r="Q82" i="2"/>
  <c r="I82" i="2"/>
  <c r="G82" i="2"/>
  <c r="V81" i="2"/>
  <c r="T81" i="2"/>
  <c r="S81" i="2"/>
  <c r="Q81" i="2"/>
  <c r="I81" i="2"/>
  <c r="G81" i="2"/>
  <c r="V80" i="2"/>
  <c r="T80" i="2"/>
  <c r="S80" i="2"/>
  <c r="Q80" i="2"/>
  <c r="I80" i="2"/>
  <c r="G80" i="2"/>
  <c r="V213" i="2"/>
  <c r="T79" i="2"/>
  <c r="S79" i="2"/>
  <c r="Q79" i="2"/>
  <c r="I79" i="2"/>
  <c r="G79" i="2"/>
  <c r="V76" i="2"/>
  <c r="T76" i="2"/>
  <c r="S76" i="2"/>
  <c r="Q76" i="2"/>
  <c r="I76" i="2"/>
  <c r="G76" i="2"/>
  <c r="V75" i="2"/>
  <c r="T75" i="2"/>
  <c r="S75" i="2"/>
  <c r="Q75" i="2"/>
  <c r="I75" i="2"/>
  <c r="G75" i="2"/>
  <c r="V74" i="2"/>
  <c r="T74" i="2"/>
  <c r="S74" i="2"/>
  <c r="Q74" i="2"/>
  <c r="I74" i="2"/>
  <c r="G74" i="2"/>
  <c r="V70" i="2"/>
  <c r="T70" i="2"/>
  <c r="S70" i="2"/>
  <c r="Q70" i="2"/>
  <c r="I70" i="2"/>
  <c r="G70" i="2"/>
  <c r="V69" i="2"/>
  <c r="T69" i="2"/>
  <c r="S69" i="2"/>
  <c r="Q69" i="2"/>
  <c r="I69" i="2"/>
  <c r="G69" i="2"/>
  <c r="V68" i="2"/>
  <c r="T68" i="2"/>
  <c r="S68" i="2"/>
  <c r="Q68" i="2"/>
  <c r="I68" i="2"/>
  <c r="G68" i="2"/>
  <c r="V67" i="2"/>
  <c r="T67" i="2"/>
  <c r="S67" i="2"/>
  <c r="Q67" i="2"/>
  <c r="I67" i="2"/>
  <c r="G67" i="2"/>
  <c r="V66" i="2"/>
  <c r="T66" i="2"/>
  <c r="S66" i="2"/>
  <c r="Q66" i="2"/>
  <c r="I66" i="2"/>
  <c r="G66" i="2"/>
  <c r="V65" i="2"/>
  <c r="T65" i="2"/>
  <c r="S65" i="2"/>
  <c r="Q65" i="2"/>
  <c r="I65" i="2"/>
  <c r="G65" i="2"/>
  <c r="V64" i="2"/>
  <c r="T64" i="2"/>
  <c r="S64" i="2"/>
  <c r="Q64" i="2"/>
  <c r="I64" i="2"/>
  <c r="G64" i="2"/>
  <c r="V61" i="2"/>
  <c r="T61" i="2"/>
  <c r="S61" i="2"/>
  <c r="Q61" i="2"/>
  <c r="I61" i="2"/>
  <c r="G61" i="2"/>
  <c r="T60" i="2"/>
  <c r="S60" i="2"/>
  <c r="Q60" i="2"/>
  <c r="I60" i="2"/>
  <c r="G60" i="2"/>
  <c r="V59" i="2"/>
  <c r="T59" i="2"/>
  <c r="S59" i="2"/>
  <c r="Q59" i="2"/>
  <c r="I59" i="2"/>
  <c r="G59" i="2"/>
  <c r="V58" i="2"/>
  <c r="T58" i="2"/>
  <c r="S58" i="2"/>
  <c r="Q58" i="2"/>
  <c r="I58" i="2"/>
  <c r="G58" i="2"/>
  <c r="V57" i="2"/>
  <c r="T57" i="2"/>
  <c r="S57" i="2"/>
  <c r="Q57" i="2"/>
  <c r="I57" i="2"/>
  <c r="G57" i="2"/>
  <c r="V56" i="2"/>
  <c r="T56" i="2"/>
  <c r="S56" i="2"/>
  <c r="Q56" i="2"/>
  <c r="I56" i="2"/>
  <c r="G56" i="2"/>
  <c r="V52" i="2"/>
  <c r="T52" i="2"/>
  <c r="S52" i="2"/>
  <c r="Q52" i="2"/>
  <c r="I52" i="2"/>
  <c r="G52" i="2"/>
  <c r="V50" i="2"/>
  <c r="T50" i="2"/>
  <c r="S50" i="2"/>
  <c r="Q50" i="2"/>
  <c r="I50" i="2"/>
  <c r="G50" i="2"/>
  <c r="V46" i="2"/>
  <c r="T46" i="2"/>
  <c r="S46" i="2"/>
  <c r="Q46" i="2"/>
  <c r="I46" i="2"/>
  <c r="G46" i="2"/>
  <c r="V44" i="2"/>
  <c r="T44" i="2"/>
  <c r="S44" i="2"/>
  <c r="Q44" i="2"/>
  <c r="I44" i="2"/>
  <c r="G44" i="2"/>
  <c r="V39" i="2"/>
  <c r="T39" i="2"/>
  <c r="S39" i="2"/>
  <c r="Q39" i="2"/>
  <c r="I39" i="2"/>
  <c r="G39" i="2"/>
  <c r="V37" i="2"/>
  <c r="T37" i="2"/>
  <c r="S37" i="2"/>
  <c r="Q37" i="2"/>
  <c r="I37" i="2"/>
  <c r="G37" i="2"/>
  <c r="V35" i="2"/>
  <c r="T35" i="2"/>
  <c r="S35" i="2"/>
  <c r="Q35" i="2"/>
  <c r="I35" i="2"/>
  <c r="G35" i="2"/>
  <c r="V31" i="2"/>
  <c r="T31" i="2"/>
  <c r="S31" i="2"/>
  <c r="Q31" i="2"/>
  <c r="I31" i="2"/>
  <c r="G31" i="2"/>
  <c r="V29" i="2"/>
  <c r="T29" i="2"/>
  <c r="S29" i="2"/>
  <c r="Q29" i="2"/>
  <c r="I29" i="2"/>
  <c r="G29" i="2"/>
  <c r="V25" i="2"/>
  <c r="T25" i="2"/>
  <c r="S25" i="2"/>
  <c r="Q25" i="2"/>
  <c r="I25" i="2"/>
  <c r="G25" i="2"/>
  <c r="V23" i="2"/>
  <c r="T23" i="2"/>
  <c r="S23" i="2"/>
  <c r="Q23" i="2"/>
  <c r="I23" i="2"/>
  <c r="G23" i="2"/>
  <c r="V21" i="2"/>
  <c r="T21" i="2"/>
  <c r="S21" i="2"/>
  <c r="Q21" i="2"/>
  <c r="I21" i="2"/>
  <c r="G21" i="2"/>
  <c r="V19" i="2"/>
  <c r="T19" i="2"/>
  <c r="S19" i="2"/>
  <c r="Q19" i="2"/>
  <c r="I19" i="2"/>
  <c r="G19" i="2"/>
  <c r="V17" i="2"/>
  <c r="T17" i="2"/>
  <c r="S17" i="2"/>
  <c r="Q17" i="2"/>
  <c r="I17" i="2"/>
  <c r="G17" i="2"/>
  <c r="T15" i="2"/>
  <c r="S15" i="2"/>
  <c r="Q15" i="2"/>
  <c r="I15" i="2"/>
  <c r="G15" i="2"/>
  <c r="V15" i="1"/>
  <c r="V215" i="2" l="1"/>
  <c r="V219" i="2" s="1"/>
  <c r="V211" i="1"/>
  <c r="T211" i="1"/>
  <c r="S211" i="1"/>
  <c r="Q211" i="1"/>
  <c r="I211" i="1"/>
  <c r="G211" i="1"/>
  <c r="V209" i="1"/>
  <c r="T209" i="1"/>
  <c r="S209" i="1"/>
  <c r="Q209" i="1"/>
  <c r="I209" i="1"/>
  <c r="G209" i="1"/>
  <c r="V207" i="1"/>
  <c r="T207" i="1"/>
  <c r="S207" i="1"/>
  <c r="Q207" i="1"/>
  <c r="I207" i="1"/>
  <c r="G207" i="1"/>
  <c r="V205" i="1"/>
  <c r="T205" i="1"/>
  <c r="S205" i="1"/>
  <c r="Q205" i="1"/>
  <c r="I205" i="1"/>
  <c r="G205" i="1"/>
  <c r="V203" i="1"/>
  <c r="T203" i="1"/>
  <c r="S203" i="1"/>
  <c r="Q203" i="1"/>
  <c r="I203" i="1"/>
  <c r="G203" i="1"/>
  <c r="V201" i="1"/>
  <c r="T201" i="1"/>
  <c r="S201" i="1"/>
  <c r="Q201" i="1"/>
  <c r="I201" i="1"/>
  <c r="G201" i="1"/>
  <c r="V199" i="1"/>
  <c r="T199" i="1"/>
  <c r="S199" i="1"/>
  <c r="Q199" i="1"/>
  <c r="I199" i="1"/>
  <c r="G199" i="1"/>
  <c r="V197" i="1"/>
  <c r="T197" i="1"/>
  <c r="S197" i="1"/>
  <c r="Q197" i="1"/>
  <c r="I197" i="1"/>
  <c r="G197" i="1"/>
  <c r="V195" i="1"/>
  <c r="T195" i="1"/>
  <c r="S195" i="1"/>
  <c r="Q195" i="1"/>
  <c r="I195" i="1"/>
  <c r="G195" i="1"/>
  <c r="V191" i="1"/>
  <c r="T191" i="1"/>
  <c r="S191" i="1"/>
  <c r="Q191" i="1"/>
  <c r="I191" i="1"/>
  <c r="G191" i="1"/>
  <c r="V189" i="1"/>
  <c r="T189" i="1"/>
  <c r="S189" i="1"/>
  <c r="Q189" i="1"/>
  <c r="I189" i="1"/>
  <c r="G189" i="1"/>
  <c r="V187" i="1"/>
  <c r="T187" i="1"/>
  <c r="S187" i="1"/>
  <c r="Q187" i="1"/>
  <c r="I187" i="1"/>
  <c r="G187" i="1"/>
  <c r="V185" i="1"/>
  <c r="T185" i="1"/>
  <c r="S185" i="1"/>
  <c r="Q185" i="1"/>
  <c r="I185" i="1"/>
  <c r="G185" i="1"/>
  <c r="V183" i="1"/>
  <c r="T183" i="1"/>
  <c r="S183" i="1"/>
  <c r="Q183" i="1"/>
  <c r="I183" i="1"/>
  <c r="G183" i="1"/>
  <c r="V181" i="1"/>
  <c r="T181" i="1"/>
  <c r="S181" i="1"/>
  <c r="Q181" i="1"/>
  <c r="I181" i="1"/>
  <c r="G181" i="1"/>
  <c r="V179" i="1"/>
  <c r="T179" i="1"/>
  <c r="S179" i="1"/>
  <c r="Q179" i="1"/>
  <c r="I179" i="1"/>
  <c r="G179" i="1"/>
  <c r="V177" i="1"/>
  <c r="T177" i="1"/>
  <c r="S177" i="1"/>
  <c r="Q177" i="1"/>
  <c r="I177" i="1"/>
  <c r="G177" i="1"/>
  <c r="V175" i="1"/>
  <c r="T175" i="1"/>
  <c r="S175" i="1"/>
  <c r="Q175" i="1"/>
  <c r="I175" i="1"/>
  <c r="G175" i="1"/>
  <c r="V173" i="1"/>
  <c r="T173" i="1"/>
  <c r="S173" i="1"/>
  <c r="Q173" i="1"/>
  <c r="I173" i="1"/>
  <c r="G173" i="1"/>
  <c r="V171" i="1"/>
  <c r="T171" i="1"/>
  <c r="S171" i="1"/>
  <c r="Q171" i="1"/>
  <c r="I171" i="1"/>
  <c r="G171" i="1"/>
  <c r="V169" i="1"/>
  <c r="T169" i="1"/>
  <c r="S169" i="1"/>
  <c r="Q169" i="1"/>
  <c r="I169" i="1"/>
  <c r="G169" i="1"/>
  <c r="V167" i="1"/>
  <c r="T167" i="1"/>
  <c r="S167" i="1"/>
  <c r="Q167" i="1"/>
  <c r="I167" i="1"/>
  <c r="G167" i="1"/>
  <c r="V165" i="1"/>
  <c r="T165" i="1"/>
  <c r="S165" i="1"/>
  <c r="Q165" i="1"/>
  <c r="I165" i="1"/>
  <c r="G165" i="1"/>
  <c r="T161" i="1"/>
  <c r="S161" i="1"/>
  <c r="Q161" i="1"/>
  <c r="I161" i="1"/>
  <c r="G161" i="1"/>
  <c r="T159" i="1"/>
  <c r="S159" i="1"/>
  <c r="Q159" i="1"/>
  <c r="I159" i="1"/>
  <c r="G159" i="1"/>
  <c r="T157" i="1"/>
  <c r="S157" i="1"/>
  <c r="Q157" i="1"/>
  <c r="I157" i="1"/>
  <c r="G157" i="1"/>
  <c r="V153" i="1"/>
  <c r="T153" i="1"/>
  <c r="S153" i="1"/>
  <c r="Q153" i="1"/>
  <c r="I153" i="1"/>
  <c r="G153" i="1"/>
  <c r="V151" i="1"/>
  <c r="T151" i="1"/>
  <c r="S151" i="1"/>
  <c r="Q151" i="1"/>
  <c r="I151" i="1"/>
  <c r="G151" i="1"/>
  <c r="V149" i="1"/>
  <c r="T149" i="1"/>
  <c r="S149" i="1"/>
  <c r="Q149" i="1"/>
  <c r="I149" i="1"/>
  <c r="G149" i="1"/>
  <c r="V147" i="1"/>
  <c r="T147" i="1"/>
  <c r="S147" i="1"/>
  <c r="Q147" i="1"/>
  <c r="I147" i="1"/>
  <c r="G147" i="1"/>
  <c r="V145" i="1"/>
  <c r="T145" i="1"/>
  <c r="S145" i="1"/>
  <c r="Q145" i="1"/>
  <c r="I145" i="1"/>
  <c r="G145" i="1"/>
  <c r="V143" i="1"/>
  <c r="T143" i="1"/>
  <c r="S143" i="1"/>
  <c r="Q143" i="1"/>
  <c r="I143" i="1"/>
  <c r="G143" i="1"/>
  <c r="V141" i="1"/>
  <c r="T141" i="1"/>
  <c r="S141" i="1"/>
  <c r="Q141" i="1"/>
  <c r="I141" i="1"/>
  <c r="G141" i="1"/>
  <c r="V139" i="1"/>
  <c r="T139" i="1"/>
  <c r="S139" i="1"/>
  <c r="Q139" i="1"/>
  <c r="I139" i="1"/>
  <c r="G139" i="1"/>
  <c r="V137" i="1"/>
  <c r="T137" i="1"/>
  <c r="S137" i="1"/>
  <c r="Q137" i="1"/>
  <c r="I137" i="1"/>
  <c r="G137" i="1"/>
  <c r="V135" i="1"/>
  <c r="T135" i="1"/>
  <c r="S135" i="1"/>
  <c r="Q135" i="1"/>
  <c r="I135" i="1"/>
  <c r="G135" i="1"/>
  <c r="V133" i="1"/>
  <c r="T133" i="1"/>
  <c r="S133" i="1"/>
  <c r="Q133" i="1"/>
  <c r="I133" i="1"/>
  <c r="G133" i="1"/>
  <c r="V131" i="1"/>
  <c r="T131" i="1"/>
  <c r="S131" i="1"/>
  <c r="Q131" i="1"/>
  <c r="I131" i="1"/>
  <c r="G131" i="1"/>
  <c r="V129" i="1"/>
  <c r="T129" i="1"/>
  <c r="S129" i="1"/>
  <c r="Q129" i="1"/>
  <c r="I129" i="1"/>
  <c r="G129" i="1"/>
  <c r="V127" i="1"/>
  <c r="T127" i="1"/>
  <c r="S127" i="1"/>
  <c r="Q127" i="1"/>
  <c r="I127" i="1"/>
  <c r="G127" i="1"/>
  <c r="V125" i="1"/>
  <c r="T125" i="1"/>
  <c r="S125" i="1"/>
  <c r="Q125" i="1"/>
  <c r="I125" i="1"/>
  <c r="G125" i="1"/>
  <c r="V123" i="1"/>
  <c r="T123" i="1"/>
  <c r="S123" i="1"/>
  <c r="Q123" i="1"/>
  <c r="I123" i="1"/>
  <c r="G123" i="1"/>
  <c r="V121" i="1"/>
  <c r="T121" i="1"/>
  <c r="S121" i="1"/>
  <c r="Q121" i="1"/>
  <c r="I121" i="1"/>
  <c r="G121" i="1"/>
  <c r="V119" i="1"/>
  <c r="T119" i="1"/>
  <c r="S119" i="1"/>
  <c r="Q119" i="1"/>
  <c r="I119" i="1"/>
  <c r="G119" i="1"/>
  <c r="V117" i="1"/>
  <c r="T117" i="1"/>
  <c r="S117" i="1"/>
  <c r="Q117" i="1"/>
  <c r="I117" i="1"/>
  <c r="G117" i="1"/>
  <c r="V113" i="1"/>
  <c r="T113" i="1"/>
  <c r="S113" i="1"/>
  <c r="Q113" i="1"/>
  <c r="I113" i="1"/>
  <c r="G113" i="1"/>
  <c r="V111" i="1"/>
  <c r="T111" i="1"/>
  <c r="S111" i="1"/>
  <c r="Q111" i="1"/>
  <c r="I111" i="1"/>
  <c r="G111" i="1"/>
  <c r="V109" i="1"/>
  <c r="T109" i="1"/>
  <c r="S109" i="1"/>
  <c r="Q109" i="1"/>
  <c r="I109" i="1"/>
  <c r="G109" i="1"/>
  <c r="V107" i="1"/>
  <c r="T107" i="1"/>
  <c r="S107" i="1"/>
  <c r="Q107" i="1"/>
  <c r="I107" i="1"/>
  <c r="G107" i="1"/>
  <c r="V105" i="1"/>
  <c r="T105" i="1"/>
  <c r="S105" i="1"/>
  <c r="Q105" i="1"/>
  <c r="I105" i="1"/>
  <c r="G105" i="1"/>
  <c r="V103" i="1"/>
  <c r="T103" i="1"/>
  <c r="S103" i="1"/>
  <c r="Q103" i="1"/>
  <c r="I103" i="1"/>
  <c r="G103" i="1"/>
  <c r="V101" i="1"/>
  <c r="T101" i="1"/>
  <c r="S101" i="1"/>
  <c r="Q101" i="1"/>
  <c r="I101" i="1"/>
  <c r="G101" i="1"/>
  <c r="V99" i="1"/>
  <c r="T99" i="1"/>
  <c r="S99" i="1"/>
  <c r="Q99" i="1"/>
  <c r="I99" i="1"/>
  <c r="G99" i="1"/>
  <c r="V97" i="1"/>
  <c r="T97" i="1"/>
  <c r="S97" i="1"/>
  <c r="Q97" i="1"/>
  <c r="I97" i="1"/>
  <c r="G97" i="1"/>
  <c r="V95" i="1"/>
  <c r="T95" i="1"/>
  <c r="S95" i="1"/>
  <c r="Q95" i="1"/>
  <c r="I95" i="1"/>
  <c r="G95" i="1"/>
  <c r="V93" i="1"/>
  <c r="T93" i="1"/>
  <c r="S93" i="1"/>
  <c r="Q93" i="1"/>
  <c r="I93" i="1"/>
  <c r="G93" i="1"/>
  <c r="V90" i="1"/>
  <c r="T90" i="1"/>
  <c r="S90" i="1"/>
  <c r="Q90" i="1"/>
  <c r="I90" i="1"/>
  <c r="G90" i="1"/>
  <c r="V89" i="1"/>
  <c r="T89" i="1"/>
  <c r="S89" i="1"/>
  <c r="Q89" i="1"/>
  <c r="I89" i="1"/>
  <c r="G89" i="1"/>
  <c r="V88" i="1"/>
  <c r="T88" i="1"/>
  <c r="S88" i="1"/>
  <c r="Q88" i="1"/>
  <c r="I88" i="1"/>
  <c r="G88" i="1"/>
  <c r="V87" i="1"/>
  <c r="T87" i="1"/>
  <c r="S87" i="1"/>
  <c r="Q87" i="1"/>
  <c r="I87" i="1"/>
  <c r="G87" i="1"/>
  <c r="V86" i="1"/>
  <c r="T86" i="1"/>
  <c r="S86" i="1"/>
  <c r="Q86" i="1"/>
  <c r="I86" i="1"/>
  <c r="G86" i="1"/>
  <c r="V85" i="1"/>
  <c r="T85" i="1"/>
  <c r="S85" i="1"/>
  <c r="Q85" i="1"/>
  <c r="I85" i="1"/>
  <c r="G85" i="1"/>
  <c r="V84" i="1"/>
  <c r="T84" i="1"/>
  <c r="S84" i="1"/>
  <c r="Q84" i="1"/>
  <c r="I84" i="1"/>
  <c r="G84" i="1"/>
  <c r="V83" i="1"/>
  <c r="T83" i="1"/>
  <c r="S83" i="1"/>
  <c r="Q83" i="1"/>
  <c r="I83" i="1"/>
  <c r="G83" i="1"/>
  <c r="V82" i="1"/>
  <c r="T82" i="1"/>
  <c r="S82" i="1"/>
  <c r="Q82" i="1"/>
  <c r="I82" i="1"/>
  <c r="G82" i="1"/>
  <c r="V81" i="1"/>
  <c r="T81" i="1"/>
  <c r="S81" i="1"/>
  <c r="Q81" i="1"/>
  <c r="I81" i="1"/>
  <c r="G81" i="1"/>
  <c r="V80" i="1"/>
  <c r="T80" i="1"/>
  <c r="S80" i="1"/>
  <c r="Q80" i="1"/>
  <c r="I80" i="1"/>
  <c r="G80" i="1"/>
  <c r="V79" i="1"/>
  <c r="T79" i="1"/>
  <c r="S79" i="1"/>
  <c r="Q79" i="1"/>
  <c r="I79" i="1"/>
  <c r="G79" i="1"/>
  <c r="V76" i="1"/>
  <c r="T76" i="1"/>
  <c r="S76" i="1"/>
  <c r="Q76" i="1"/>
  <c r="I76" i="1"/>
  <c r="G76" i="1"/>
  <c r="V75" i="1"/>
  <c r="T75" i="1"/>
  <c r="S75" i="1"/>
  <c r="Q75" i="1"/>
  <c r="I75" i="1"/>
  <c r="G75" i="1"/>
  <c r="V74" i="1"/>
  <c r="T74" i="1"/>
  <c r="S74" i="1"/>
  <c r="Q74" i="1"/>
  <c r="I74" i="1"/>
  <c r="G74" i="1"/>
  <c r="V70" i="1"/>
  <c r="T70" i="1"/>
  <c r="S70" i="1"/>
  <c r="Q70" i="1"/>
  <c r="I70" i="1"/>
  <c r="G70" i="1"/>
  <c r="V69" i="1"/>
  <c r="T69" i="1"/>
  <c r="S69" i="1"/>
  <c r="Q69" i="1"/>
  <c r="I69" i="1"/>
  <c r="G69" i="1"/>
  <c r="V68" i="1"/>
  <c r="T68" i="1"/>
  <c r="S68" i="1"/>
  <c r="Q68" i="1"/>
  <c r="I68" i="1"/>
  <c r="G68" i="1"/>
  <c r="V67" i="1"/>
  <c r="T67" i="1"/>
  <c r="S67" i="1"/>
  <c r="Q67" i="1"/>
  <c r="I67" i="1"/>
  <c r="G67" i="1"/>
  <c r="V66" i="1"/>
  <c r="T66" i="1"/>
  <c r="S66" i="1"/>
  <c r="Q66" i="1"/>
  <c r="I66" i="1"/>
  <c r="G66" i="1"/>
  <c r="V65" i="1"/>
  <c r="T65" i="1"/>
  <c r="S65" i="1"/>
  <c r="Q65" i="1"/>
  <c r="I65" i="1"/>
  <c r="G65" i="1"/>
  <c r="V64" i="1"/>
  <c r="T64" i="1"/>
  <c r="S64" i="1"/>
  <c r="Q64" i="1"/>
  <c r="I64" i="1"/>
  <c r="G64" i="1"/>
  <c r="V61" i="1"/>
  <c r="T61" i="1"/>
  <c r="S61" i="1"/>
  <c r="Q61" i="1"/>
  <c r="I61" i="1"/>
  <c r="G61" i="1"/>
  <c r="V60" i="1"/>
  <c r="T60" i="1"/>
  <c r="S60" i="1"/>
  <c r="Q60" i="1"/>
  <c r="I60" i="1"/>
  <c r="G60" i="1"/>
  <c r="V59" i="1"/>
  <c r="T59" i="1"/>
  <c r="S59" i="1"/>
  <c r="Q59" i="1"/>
  <c r="I59" i="1"/>
  <c r="G59" i="1"/>
  <c r="V58" i="1"/>
  <c r="T58" i="1"/>
  <c r="S58" i="1"/>
  <c r="Q58" i="1"/>
  <c r="I58" i="1"/>
  <c r="G58" i="1"/>
  <c r="V57" i="1"/>
  <c r="T57" i="1"/>
  <c r="S57" i="1"/>
  <c r="Q57" i="1"/>
  <c r="I57" i="1"/>
  <c r="G57" i="1"/>
  <c r="V56" i="1"/>
  <c r="T56" i="1"/>
  <c r="S56" i="1"/>
  <c r="Q56" i="1"/>
  <c r="I56" i="1"/>
  <c r="G56" i="1"/>
  <c r="V52" i="1"/>
  <c r="T52" i="1"/>
  <c r="S52" i="1"/>
  <c r="Q52" i="1"/>
  <c r="I52" i="1"/>
  <c r="G52" i="1"/>
  <c r="V50" i="1"/>
  <c r="T50" i="1"/>
  <c r="S50" i="1"/>
  <c r="Q50" i="1"/>
  <c r="I50" i="1"/>
  <c r="G50" i="1"/>
  <c r="V46" i="1"/>
  <c r="T46" i="1"/>
  <c r="S46" i="1"/>
  <c r="Q46" i="1"/>
  <c r="I46" i="1"/>
  <c r="G46" i="1"/>
  <c r="V44" i="1"/>
  <c r="T44" i="1"/>
  <c r="S44" i="1"/>
  <c r="Q44" i="1"/>
  <c r="I44" i="1"/>
  <c r="G44" i="1"/>
  <c r="V39" i="1"/>
  <c r="T39" i="1"/>
  <c r="S39" i="1"/>
  <c r="Q39" i="1"/>
  <c r="I39" i="1"/>
  <c r="G39" i="1"/>
  <c r="V37" i="1"/>
  <c r="T37" i="1"/>
  <c r="S37" i="1"/>
  <c r="Q37" i="1"/>
  <c r="I37" i="1"/>
  <c r="G37" i="1"/>
  <c r="V35" i="1"/>
  <c r="T35" i="1"/>
  <c r="S35" i="1"/>
  <c r="Q35" i="1"/>
  <c r="I35" i="1"/>
  <c r="G35" i="1"/>
  <c r="V31" i="1"/>
  <c r="T31" i="1"/>
  <c r="S31" i="1"/>
  <c r="Q31" i="1"/>
  <c r="I31" i="1"/>
  <c r="G31" i="1"/>
  <c r="V29" i="1"/>
  <c r="T29" i="1"/>
  <c r="S29" i="1"/>
  <c r="Q29" i="1"/>
  <c r="I29" i="1"/>
  <c r="G29" i="1"/>
  <c r="V25" i="1"/>
  <c r="T25" i="1"/>
  <c r="S25" i="1"/>
  <c r="Q25" i="1"/>
  <c r="I25" i="1"/>
  <c r="G25" i="1"/>
  <c r="V23" i="1"/>
  <c r="T23" i="1"/>
  <c r="S23" i="1"/>
  <c r="Q23" i="1"/>
  <c r="I23" i="1"/>
  <c r="G23" i="1"/>
  <c r="V21" i="1"/>
  <c r="T21" i="1"/>
  <c r="S21" i="1"/>
  <c r="Q21" i="1"/>
  <c r="I21" i="1"/>
  <c r="G21" i="1"/>
  <c r="V19" i="1"/>
  <c r="T19" i="1"/>
  <c r="S19" i="1"/>
  <c r="Q19" i="1"/>
  <c r="I19" i="1"/>
  <c r="G19" i="1"/>
  <c r="V17" i="1"/>
  <c r="T17" i="1"/>
  <c r="S17" i="1"/>
  <c r="Q17" i="1"/>
  <c r="I17" i="1"/>
  <c r="G17" i="1"/>
  <c r="T15" i="1"/>
  <c r="S15" i="1"/>
  <c r="Q15" i="1"/>
  <c r="I15" i="1"/>
  <c r="G15" i="1"/>
  <c r="V213" i="1" l="1"/>
  <c r="V215" i="1" s="1"/>
  <c r="V219" i="1" s="1"/>
</calcChain>
</file>

<file path=xl/sharedStrings.xml><?xml version="1.0" encoding="utf-8"?>
<sst xmlns="http://schemas.openxmlformats.org/spreadsheetml/2006/main" count="1766" uniqueCount="384">
  <si>
    <r>
      <t xml:space="preserve">      </t>
    </r>
    <r>
      <rPr>
        <b/>
        <sz val="10"/>
        <rFont val="Calibri"/>
        <charset val="162"/>
      </rPr>
      <t xml:space="preserve">    EMPERO Endüstriyel Mutfak Ekipmanları Pazarlama İç ve Dış Tic. A.Ş.
</t>
    </r>
    <r>
      <rPr>
        <sz val="10"/>
        <rFont val="Calibri"/>
        <charset val="162"/>
      </rPr>
      <t>Showroom:Mahmut Şevket Paşa Mah. Şahinkaya Sokak Azim Plaza No: 13  ŞİŞLİ /ISTANBUL-TURKEY Tel:+90 212 361 83 00 Fax:+90 212 361 83 03
Factory:Konya 3. Organize Sanayi Bölgesi Büyükkayacık Mah. 9. Sok. No:20 KONYA-TURKEY Tel: +90332.444 15 60
www.empero.com.tr</t>
    </r>
  </si>
  <si>
    <t>SKTÜRK END.MUTFAK</t>
  </si>
  <si>
    <t>PROF.NO:42-000000024-YH</t>
  </si>
  <si>
    <t>DATE :07.06.2020</t>
  </si>
  <si>
    <t>KONYA FABRIKA MUTFAGI</t>
  </si>
  <si>
    <t>POZ</t>
  </si>
  <si>
    <t>AÇIKLAMA</t>
  </si>
  <si>
    <t>MARKA</t>
  </si>
  <si>
    <t>KOD</t>
  </si>
  <si>
    <t>ÖLÇÜ</t>
  </si>
  <si>
    <t>BRM AĞIRLIK</t>
  </si>
  <si>
    <t>TOP.AĞIRLIK</t>
  </si>
  <si>
    <t>BRM HACİM</t>
  </si>
  <si>
    <t>TOP. HACİM</t>
  </si>
  <si>
    <t>ADET</t>
  </si>
  <si>
    <t>BRM FİYAT</t>
  </si>
  <si>
    <t>TOPLAM FİYAT</t>
  </si>
  <si>
    <t>LIST FT.</t>
  </si>
  <si>
    <t>LIST FT. DV</t>
  </si>
  <si>
    <t>MAL.</t>
  </si>
  <si>
    <t>ALIŞ FT.</t>
  </si>
  <si>
    <t>ALIŞ FT. DV</t>
  </si>
  <si>
    <t>KAR ORANI</t>
  </si>
  <si>
    <t>ORAN</t>
  </si>
  <si>
    <t>MAL.TOP.</t>
  </si>
  <si>
    <t xml:space="preserve">رقم </t>
  </si>
  <si>
    <t>الشرح</t>
  </si>
  <si>
    <t>العلامة التجارية</t>
  </si>
  <si>
    <t>الرمز</t>
  </si>
  <si>
    <t>الأبعاد</t>
  </si>
  <si>
    <t>وزن الوحدة
(كغ)</t>
  </si>
  <si>
    <t>اجمالي الوزن
(كغ)</t>
  </si>
  <si>
    <t>حجم الوحدة
(م³)</t>
  </si>
  <si>
    <t>اجمالي الحجم
(م³)</t>
  </si>
  <si>
    <t>العدد</t>
  </si>
  <si>
    <t>سعر الوحدة</t>
  </si>
  <si>
    <t>اجمالي السعر</t>
  </si>
  <si>
    <t>POS</t>
  </si>
  <si>
    <t>DESCRIPTION</t>
  </si>
  <si>
    <t>BRAND</t>
  </si>
  <si>
    <t>CODE</t>
  </si>
  <si>
    <t>DIMENSION(mm)</t>
  </si>
  <si>
    <t>UNIT 
WEIGHT(kg)</t>
  </si>
  <si>
    <t>TOTAL 
WEIGHT(kg)</t>
  </si>
  <si>
    <t>UNIT 
VOL(m³)</t>
  </si>
  <si>
    <t>TOTAL 
VOL(m³)</t>
  </si>
  <si>
    <t>QTY</t>
  </si>
  <si>
    <t>PACKED DIMENSION
(mm)</t>
  </si>
  <si>
    <t>QTY OF 
PACK</t>
  </si>
  <si>
    <t>PACK
VOL (m3)</t>
  </si>
  <si>
    <t>PACK
TYPE</t>
  </si>
  <si>
    <t>NET WEIGHT
(kg)</t>
  </si>
  <si>
    <t>GROSS 
WEIGHT
(kg)</t>
  </si>
  <si>
    <t>UNIT PRICE</t>
  </si>
  <si>
    <t>TOTAL PRICE</t>
  </si>
  <si>
    <t>K-KİLER DEPO</t>
  </si>
  <si>
    <t>K01</t>
  </si>
  <si>
    <t>KOMPLE PASLANMAZ TEK HUCRELI B</t>
  </si>
  <si>
    <t>TEDARİK</t>
  </si>
  <si>
    <t>KAPP 65010300</t>
  </si>
  <si>
    <t>XX</t>
  </si>
  <si>
    <t>X</t>
  </si>
  <si>
    <t>PALET</t>
  </si>
  <si>
    <t>K02</t>
  </si>
  <si>
    <t>2’Lİ  SERVİS ARABASI</t>
  </si>
  <si>
    <t>EMPERO</t>
  </si>
  <si>
    <t>EMP.2.SV.02</t>
  </si>
  <si>
    <t>550X860X900</t>
  </si>
  <si>
    <t>K03</t>
  </si>
  <si>
    <t>DEMONTE İSTİF RAFI, INOX 201</t>
  </si>
  <si>
    <t>EMP.T.2.53122-16-4</t>
  </si>
  <si>
    <t>1.220X530X1.600</t>
  </si>
  <si>
    <t>K04</t>
  </si>
  <si>
    <t>PLASTİK PALET 80X120 GRİ</t>
  </si>
  <si>
    <t>KMS P80120KM</t>
  </si>
  <si>
    <t>1.200X800X</t>
  </si>
  <si>
    <t>K05</t>
  </si>
  <si>
    <t>BONE GALOŞ KUTUSU 3 BÖLMELİ</t>
  </si>
  <si>
    <t/>
  </si>
  <si>
    <t>EMP.BGK.001</t>
  </si>
  <si>
    <t>K06</t>
  </si>
  <si>
    <t>DİZDEN KUMANDALI EL YIKAMA EVYESİ</t>
  </si>
  <si>
    <t>EMP.DKE.001</t>
  </si>
  <si>
    <t>505X450X220</t>
  </si>
  <si>
    <t>Ş-ŞARKÜTERİ SOĞUK ODA</t>
  </si>
  <si>
    <t>S02</t>
  </si>
  <si>
    <t>S03</t>
  </si>
  <si>
    <t>C-SEBZE SOĞUK ODA</t>
  </si>
  <si>
    <t>C02</t>
  </si>
  <si>
    <t>C03</t>
  </si>
  <si>
    <t>EMP.T.2.53152-16-4</t>
  </si>
  <si>
    <t>1.520X530X1.600</t>
  </si>
  <si>
    <t>C04</t>
  </si>
  <si>
    <t>D-ET SOĞUK ODA</t>
  </si>
  <si>
    <t>D02</t>
  </si>
  <si>
    <t>D03</t>
  </si>
  <si>
    <t>EMP.T.2.53137-16-4</t>
  </si>
  <si>
    <t>1.370X530X1.600</t>
  </si>
  <si>
    <t>F-ET DERİN DONDURUCU</t>
  </si>
  <si>
    <t>F02</t>
  </si>
  <si>
    <t>F03</t>
  </si>
  <si>
    <t>G-ET HAZIRLIK</t>
  </si>
  <si>
    <t>G01</t>
  </si>
  <si>
    <t>TEK EVYELİ TEZGAH</t>
  </si>
  <si>
    <t>EMP.E.67085-1E</t>
  </si>
  <si>
    <t>600X700X850</t>
  </si>
  <si>
    <t>G02</t>
  </si>
  <si>
    <t>POLİETİLEN ET KÜTÜĞÜ 700*700*8</t>
  </si>
  <si>
    <t>EMP.PTE.7070</t>
  </si>
  <si>
    <t>700X700X850</t>
  </si>
  <si>
    <t>G03</t>
  </si>
  <si>
    <t>ÇALIŞMA TEZGAHI ALT RAFLI</t>
  </si>
  <si>
    <t>EMP.ATT.70160</t>
  </si>
  <si>
    <t>1.600X700X850</t>
  </si>
  <si>
    <t>G04</t>
  </si>
  <si>
    <t xml:space="preserve">ÇALIŞMA TEZGAHI ALT RAFLI TEK </t>
  </si>
  <si>
    <t>EMP.ATT.70180-1C</t>
  </si>
  <si>
    <t>1.800X700X850</t>
  </si>
  <si>
    <t>G06</t>
  </si>
  <si>
    <t>75 KG HAMUR YOĞURMA MAKİNASI,380 V</t>
  </si>
  <si>
    <t>HY.08.K</t>
  </si>
  <si>
    <t>791X1.115X882</t>
  </si>
  <si>
    <t>G07</t>
  </si>
  <si>
    <t>BIÇAK STERİLİZATÖRÜ</t>
  </si>
  <si>
    <t>EMP.BST.001</t>
  </si>
  <si>
    <t>552X131X620</t>
  </si>
  <si>
    <t>E-SEBZE HAZIRLIK</t>
  </si>
  <si>
    <t>E01</t>
  </si>
  <si>
    <t>EMP.ATT.70120</t>
  </si>
  <si>
    <t>1.200X700X850</t>
  </si>
  <si>
    <t>E02</t>
  </si>
  <si>
    <t>ÇİFT EVYELİ TEZGAH SOL</t>
  </si>
  <si>
    <t>EMP.E.71485-2E-L</t>
  </si>
  <si>
    <t>1.400X700X850</t>
  </si>
  <si>
    <t>E05</t>
  </si>
  <si>
    <t xml:space="preserve">SEBZE SÜZME TEZGAHI 160*70*85 </t>
  </si>
  <si>
    <t>EMP.SST.70160</t>
  </si>
  <si>
    <t>E06</t>
  </si>
  <si>
    <t>SEBZE DOĞRAMA MAKİNASI</t>
  </si>
  <si>
    <t>EMP.300</t>
  </si>
  <si>
    <t>435X300X650</t>
  </si>
  <si>
    <t>E07</t>
  </si>
  <si>
    <t>POLİETİLEN ÇALIŞMA TEZGAHI ALT</t>
  </si>
  <si>
    <t>EMP.PTT.70180-1C</t>
  </si>
  <si>
    <t>E08</t>
  </si>
  <si>
    <t>EMP.ATT.70180</t>
  </si>
  <si>
    <t>E09</t>
  </si>
  <si>
    <t>EE-PATATES SOĞAN ODASI</t>
  </si>
  <si>
    <t>EE01</t>
  </si>
  <si>
    <t>EE02</t>
  </si>
  <si>
    <t xml:space="preserve">SEBZE SÜZME TEZGAHI 140*70*85 </t>
  </si>
  <si>
    <t>EMP.SST.70140</t>
  </si>
  <si>
    <t>EE04</t>
  </si>
  <si>
    <t>M-SICAK MUTFAK</t>
  </si>
  <si>
    <t>M02</t>
  </si>
  <si>
    <t>YER OCAĞI, VENTİLLİ</t>
  </si>
  <si>
    <t>EMP.YRG.60</t>
  </si>
  <si>
    <t>600X800X500</t>
  </si>
  <si>
    <t>M03</t>
  </si>
  <si>
    <t>DAVLUMBAZ DUVAR TIP FİLTRELİ 5</t>
  </si>
  <si>
    <t>EMP.DDVLK.50155</t>
  </si>
  <si>
    <t>5.000X1.500X500</t>
  </si>
  <si>
    <t>M04</t>
  </si>
  <si>
    <t>DAVLUMBAZ DUVAR TIP FİLTRELİ 3</t>
  </si>
  <si>
    <t>EMP.DDVLK.35155</t>
  </si>
  <si>
    <t>3.500X1.500X500</t>
  </si>
  <si>
    <t>M05</t>
  </si>
  <si>
    <t>ÇALIŞMA TEZGAHI ALT RAFLI-ARA RAFLI</t>
  </si>
  <si>
    <t>EMP.ATT2.70180</t>
  </si>
  <si>
    <t>M06</t>
  </si>
  <si>
    <t>GAZLI DÖNER OCAĞI  ÜSTTEN MOTORLU</t>
  </si>
  <si>
    <t>EMP.DN.222</t>
  </si>
  <si>
    <t>760X546X1.320</t>
  </si>
  <si>
    <t>M07</t>
  </si>
  <si>
    <t>GAZLI KUZİNE ,SETÜSTÜ</t>
  </si>
  <si>
    <t>EMP.9KG020-2016</t>
  </si>
  <si>
    <t>800X900X285</t>
  </si>
  <si>
    <t>M7.A</t>
  </si>
  <si>
    <t>SET ALTI TEZGAH</t>
  </si>
  <si>
    <t>EMP.9TS020-2016</t>
  </si>
  <si>
    <t>800X847X565</t>
  </si>
  <si>
    <t>M08</t>
  </si>
  <si>
    <t>GAZLI IZGARA, DÜZ+OLUKLU ,SETÜSTÜ</t>
  </si>
  <si>
    <t>EMP.9IG022-2016</t>
  </si>
  <si>
    <t>M8.A</t>
  </si>
  <si>
    <t>M09</t>
  </si>
  <si>
    <t>EMP.DDVLK.50125</t>
  </si>
  <si>
    <t>5.000X1.200X500</t>
  </si>
  <si>
    <t>M10</t>
  </si>
  <si>
    <t xml:space="preserve">HAREKETLİ ÇALIŞMA TEZGAHI ALT </t>
  </si>
  <si>
    <t>EMP.ATT.70140-H</t>
  </si>
  <si>
    <t>M11</t>
  </si>
  <si>
    <t>S-SERVİS HATTI</t>
  </si>
  <si>
    <t>S01</t>
  </si>
  <si>
    <t>KÜVER ÜNİTESİ</t>
  </si>
  <si>
    <t>EMP.BKU.10</t>
  </si>
  <si>
    <t>800X790X1.350</t>
  </si>
  <si>
    <t>BENMARI SICAK SERVİS ÜNİTESİ</t>
  </si>
  <si>
    <t>EMP.BEH.70</t>
  </si>
  <si>
    <t>2.100X790X850</t>
  </si>
  <si>
    <t>S2.A</t>
  </si>
  <si>
    <t>SERVİS RAFI 2 KATLI 2100*400*7</t>
  </si>
  <si>
    <t>EMP.SRF2.40210</t>
  </si>
  <si>
    <t>2.100X400X</t>
  </si>
  <si>
    <t>ORTA TİP DAVLUMBAZ - FİLTRESİZ</t>
  </si>
  <si>
    <t>EMP.ODVL.30155-N</t>
  </si>
  <si>
    <t>3.000X1.100X500</t>
  </si>
  <si>
    <t>S04</t>
  </si>
  <si>
    <t>NÖTR SERVİS ÜNİTESİ</t>
  </si>
  <si>
    <t>EMP.NS.90</t>
  </si>
  <si>
    <t>1.800X790X850</t>
  </si>
  <si>
    <t>S4.A</t>
  </si>
  <si>
    <t>SERVİS RAFI 2 KATLI 1800*400*7</t>
  </si>
  <si>
    <t>EMP.SRF2.40180</t>
  </si>
  <si>
    <t>1.800X400X</t>
  </si>
  <si>
    <t>S05</t>
  </si>
  <si>
    <t>DOLAPLI TEZGAH 1900*600*850</t>
  </si>
  <si>
    <t>EMP.DLPA.60190</t>
  </si>
  <si>
    <t>1.900X600X850</t>
  </si>
  <si>
    <t>S06</t>
  </si>
  <si>
    <t>TEKLİ EVYE DOLAPLI 600x700x850</t>
  </si>
  <si>
    <t>EMP.E.DLP.7060-1E</t>
  </si>
  <si>
    <t>600X600X850</t>
  </si>
  <si>
    <t>S11</t>
  </si>
  <si>
    <t>S12</t>
  </si>
  <si>
    <t xml:space="preserve">ÇALIŞMA TEZGAHI ALT RAFLI-ARA </t>
  </si>
  <si>
    <t>EMP.ATT2.70190</t>
  </si>
  <si>
    <t>1.900X700X850</t>
  </si>
  <si>
    <t>S13</t>
  </si>
  <si>
    <t>ÇAY OTOMATI,400 BARDAK, 40 LT</t>
  </si>
  <si>
    <t>EMP.CY.400</t>
  </si>
  <si>
    <t>390X390X540</t>
  </si>
  <si>
    <t>P-BULAŞIKHANE</t>
  </si>
  <si>
    <t>P01</t>
  </si>
  <si>
    <t>BULAŞIK ALMA TEZGAHI SIYIRMA H</t>
  </si>
  <si>
    <t>EMP.BAT.70160</t>
  </si>
  <si>
    <t>P02</t>
  </si>
  <si>
    <t>ÇÖP YUVARLAK</t>
  </si>
  <si>
    <t>EMP.CY.01</t>
  </si>
  <si>
    <t>400X400X400</t>
  </si>
  <si>
    <t>P03</t>
  </si>
  <si>
    <t>BULAŞIK MAKİNESİ GİRİŞ TEZGAHI</t>
  </si>
  <si>
    <t>EMP.BYG.75140-2E-L</t>
  </si>
  <si>
    <t>1.400X750X850</t>
  </si>
  <si>
    <t>P04</t>
  </si>
  <si>
    <t xml:space="preserve">ÖN YIKAMA DUŞU </t>
  </si>
  <si>
    <t>JP.OYD.01</t>
  </si>
  <si>
    <t>1.500X440X1.200</t>
  </si>
  <si>
    <t>P06</t>
  </si>
  <si>
    <t xml:space="preserve">DAVLUMBAZ DUVAR TIP FILTRESIZ </t>
  </si>
  <si>
    <t>EMP.DDVLK.10105-N</t>
  </si>
  <si>
    <t>1.000X1.000X500</t>
  </si>
  <si>
    <t>P07</t>
  </si>
  <si>
    <t>BULAŞIK MAKİNASI ÇIKIŞ TEZGAHI</t>
  </si>
  <si>
    <t>EMP.BYC.6075-R</t>
  </si>
  <si>
    <t>P08</t>
  </si>
  <si>
    <t>EMP.BYC.7075-L</t>
  </si>
  <si>
    <t>P09</t>
  </si>
  <si>
    <t>TEK EVYELİ TEZGAH SOL</t>
  </si>
  <si>
    <t>EMP.E.71485-1E-L</t>
  </si>
  <si>
    <t>P10</t>
  </si>
  <si>
    <t>KAZAN YIKAMA EVYESİ IZGARA TAB</t>
  </si>
  <si>
    <t>EMP.E.KY.80120</t>
  </si>
  <si>
    <t>1.200X800X610</t>
  </si>
  <si>
    <t>P11</t>
  </si>
  <si>
    <t>ÖN YIKAMA DUŞU</t>
  </si>
  <si>
    <t>JP.OYD.02</t>
  </si>
  <si>
    <t>196X420X1.200</t>
  </si>
  <si>
    <t>P12</t>
  </si>
  <si>
    <t>ÇALIŞMA TEZGAHI ALT RAFLI 800*</t>
  </si>
  <si>
    <t>EMP.AT.8080</t>
  </si>
  <si>
    <t>800X800X610</t>
  </si>
  <si>
    <t>P13</t>
  </si>
  <si>
    <t>İSTİF RAFI, 4 PERFORE TABLALI,</t>
  </si>
  <si>
    <t>EMP.IRF.10515-P</t>
  </si>
  <si>
    <t>700X500X1.600</t>
  </si>
  <si>
    <t>P14</t>
  </si>
  <si>
    <t>EMP.IRF.12515-P</t>
  </si>
  <si>
    <t>1.200X500X1.600</t>
  </si>
  <si>
    <t>P15</t>
  </si>
  <si>
    <t>EMP.IRF.13615-P</t>
  </si>
  <si>
    <t>1.300X600X1.600</t>
  </si>
  <si>
    <t>P16</t>
  </si>
  <si>
    <t>EMP.IRF.15615-P</t>
  </si>
  <si>
    <t>1.500X600X1.600</t>
  </si>
  <si>
    <t>P17</t>
  </si>
  <si>
    <t>P18</t>
  </si>
  <si>
    <t>BULAŞIK TOPLAMA, HAVUZLU</t>
  </si>
  <si>
    <t>EMP.BAH.2.8555-90</t>
  </si>
  <si>
    <t>850X550X900</t>
  </si>
  <si>
    <t>P19</t>
  </si>
  <si>
    <t>EMP.BAT.70180</t>
  </si>
  <si>
    <t>1.700X700X850</t>
  </si>
  <si>
    <t>P20</t>
  </si>
  <si>
    <t>ÇALISMA TEZGAHI 1700*700*850</t>
  </si>
  <si>
    <t>EMP.ATT.70170</t>
  </si>
  <si>
    <t>YER IZGARASI</t>
  </si>
  <si>
    <t>Y01</t>
  </si>
  <si>
    <t>YANDAN ÇIKIŞLI ORTADAN SİFONLU</t>
  </si>
  <si>
    <t>EMP.YF.YO.3030</t>
  </si>
  <si>
    <t>300X300X150</t>
  </si>
  <si>
    <t>Y02</t>
  </si>
  <si>
    <t>EMP.YF.YO.30118</t>
  </si>
  <si>
    <t>300X1.180X150</t>
  </si>
  <si>
    <t>Y03</t>
  </si>
  <si>
    <t>EMP.YF.YO.30181</t>
  </si>
  <si>
    <t>300X1.810X150</t>
  </si>
  <si>
    <t>YÖNETİM YEMEKHANE S-SERVİS</t>
  </si>
  <si>
    <t>A01</t>
  </si>
  <si>
    <t>A02</t>
  </si>
  <si>
    <t>ÇORBALIK</t>
  </si>
  <si>
    <t>JP.CRP.01</t>
  </si>
  <si>
    <t>360X400X200</t>
  </si>
  <si>
    <t>A03</t>
  </si>
  <si>
    <t>EMP.BEH.30</t>
  </si>
  <si>
    <t>1.500X790X850</t>
  </si>
  <si>
    <t>A3.A</t>
  </si>
  <si>
    <t>ÜST RAF GRUP FARKI - TAM CAM(EMP.BEH.30)</t>
  </si>
  <si>
    <t>EMP.BEH.30.USC.T</t>
  </si>
  <si>
    <t>1.500X440X375</t>
  </si>
  <si>
    <t>A3.B</t>
  </si>
  <si>
    <t>TEPSİ KAYDIRMA STAND FARKI (EMP.BEH.30)</t>
  </si>
  <si>
    <t>EMP.BEH.30.TK</t>
  </si>
  <si>
    <t>1.500X0X0</t>
  </si>
  <si>
    <t>A04</t>
  </si>
  <si>
    <t>EMP.ODVL.20155-N</t>
  </si>
  <si>
    <t>2.000X1.100X500</t>
  </si>
  <si>
    <t>A05</t>
  </si>
  <si>
    <t>EMP.NS.30</t>
  </si>
  <si>
    <t>900X790X850</t>
  </si>
  <si>
    <t>A5.A</t>
  </si>
  <si>
    <t>ÜST RAF GRUP FARKI - TAM CAM(EMP.NS.30)</t>
  </si>
  <si>
    <t>EMP.NS.30.USC.T</t>
  </si>
  <si>
    <t>900X440X375</t>
  </si>
  <si>
    <t>A06</t>
  </si>
  <si>
    <t>KULETİP SOĞUK SERVİS DOLABI 15</t>
  </si>
  <si>
    <t>EMP.150.79.01-KULE</t>
  </si>
  <si>
    <t>1.500X790X1.600</t>
  </si>
  <si>
    <t>A07</t>
  </si>
  <si>
    <t>DOLAPLI ÇALIŞMA TEZGAHI ARA RA</t>
  </si>
  <si>
    <t>EMP.DLPA.60100</t>
  </si>
  <si>
    <t>1.000X600X850</t>
  </si>
  <si>
    <t>A08</t>
  </si>
  <si>
    <t>DOLAPLI ÇALIŞMA TEZGAHI ARA RAFLI</t>
  </si>
  <si>
    <t>EMP.DLPA.70160</t>
  </si>
  <si>
    <t>A09</t>
  </si>
  <si>
    <t>SICAK BANKET ARABASI (11 GN 2/1)</t>
  </si>
  <si>
    <t>EMP.BQ1</t>
  </si>
  <si>
    <t>717X888X1.803</t>
  </si>
  <si>
    <t>A10</t>
  </si>
  <si>
    <t>ÇALIŞMA TEZGAHI - DOLAPLI - TA</t>
  </si>
  <si>
    <t>EMP.DLPA.7010</t>
  </si>
  <si>
    <t>1.000X700X850</t>
  </si>
  <si>
    <t>A12</t>
  </si>
  <si>
    <t>SOĞUTMALI SALADBAR, HAREKETLİ</t>
  </si>
  <si>
    <t>EMP.SB.04</t>
  </si>
  <si>
    <t>1.500X890X1.370</t>
  </si>
  <si>
    <t>T-BULAŞIKHANE</t>
  </si>
  <si>
    <t>T01</t>
  </si>
  <si>
    <t>EMP.BAT.70100</t>
  </si>
  <si>
    <t>T02</t>
  </si>
  <si>
    <t>ÇÖP KARE</t>
  </si>
  <si>
    <t>EMP.CK.01</t>
  </si>
  <si>
    <t>500X550X500</t>
  </si>
  <si>
    <t>T03</t>
  </si>
  <si>
    <t>T04</t>
  </si>
  <si>
    <t>T05</t>
  </si>
  <si>
    <t>T07</t>
  </si>
  <si>
    <t>T08</t>
  </si>
  <si>
    <t>EMP.BYC.7075-R</t>
  </si>
  <si>
    <t>700X750X850</t>
  </si>
  <si>
    <t>T09</t>
  </si>
  <si>
    <t>T10</t>
  </si>
  <si>
    <t>BULAŞIK TOPLAMA,SELFROM 37X53 TEKLİ</t>
  </si>
  <si>
    <t>EMP.BA.2.3753-13</t>
  </si>
  <si>
    <t>430X560X1.710</t>
  </si>
  <si>
    <t>ÖZEL İSKONTO</t>
  </si>
  <si>
    <t>NKLİYET BADALI</t>
  </si>
  <si>
    <t>TOTAL()</t>
  </si>
  <si>
    <t>EXTRA MASRAFLAR</t>
  </si>
  <si>
    <t>EKİPMAN TOPLAMI KONYA TESLİM</t>
  </si>
  <si>
    <t>KDV TUTARI %18</t>
  </si>
  <si>
    <t>GENEL TEKLİF TOPLAMI NET SATIŞ</t>
  </si>
  <si>
    <t>HARİÇ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</si>
</sst>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#,##0.00\ [$€-1]"/>
    <numFmt numFmtId="165" formatCode="#,##0.00\ [$EUR-2];\-#,##0.00\ [$EUR-2]"/>
    <numFmt numFmtId="166" formatCode="#,##0\ [$€-1]"/>
    <numFmt numFmtId="167" formatCode="0.0000"/>
    <numFmt numFmtId="168" formatCode="#,##0.0000"/>
    <numFmt numFmtId="169" formatCode="#,##0.00;[Red]#,##0.00"/>
    <numFmt numFmtId="170" formatCode="#,##0;[Red]#,##0"/>
    <numFmt numFmtId="171" formatCode="[$$-475]#,##0.00"/>
  </numFmts>
  <fonts count="22" x14ac:knownFonts="1">
    <font>
      <sz val="10"/>
      <name val="Arial Tur"/>
      <family val="2"/>
      <charset val="162"/>
    </font>
    <font>
      <sz val="11"/>
      <name val="Arial"/>
      <charset val="162"/>
    </font>
    <font>
      <sz val="11"/>
      <name val="Calibri"/>
      <charset val="162"/>
    </font>
    <font>
      <sz val="11"/>
      <color indexed="9"/>
      <name val="Calibri"/>
      <charset val="162"/>
    </font>
    <font>
      <sz val="11"/>
      <name val="Arial Tur"/>
      <charset val="162"/>
    </font>
    <font>
      <b/>
      <sz val="11"/>
      <name val="Calibri"/>
      <charset val="162"/>
    </font>
    <font>
      <b/>
      <sz val="11"/>
      <name val="Arial"/>
      <charset val="162"/>
    </font>
    <font>
      <b/>
      <sz val="11"/>
      <color indexed="9"/>
      <name val="Calibri"/>
      <charset val="162"/>
    </font>
    <font>
      <sz val="10"/>
      <name val="Calibri"/>
      <charset val="162"/>
    </font>
    <font>
      <b/>
      <sz val="11"/>
      <color rgb="FFFF0000"/>
      <name val="Calibri"/>
      <charset val="162"/>
    </font>
    <font>
      <b/>
      <sz val="11"/>
      <color indexed="18"/>
      <name val="Calibri"/>
      <charset val="162"/>
    </font>
    <font>
      <b/>
      <sz val="11"/>
      <color theme="1"/>
      <name val="Calibri"/>
      <charset val="162"/>
    </font>
    <font>
      <b/>
      <sz val="14"/>
      <color rgb="FFFFFFFF"/>
      <name val="Calibri"/>
      <charset val="162"/>
    </font>
    <font>
      <b/>
      <sz val="11"/>
      <name val="Arial Tur"/>
      <charset val="162"/>
    </font>
    <font>
      <sz val="11"/>
      <color theme="1"/>
      <name val="Calibri"/>
      <charset val="162"/>
      <scheme val="minor"/>
    </font>
    <font>
      <u/>
      <sz val="10"/>
      <color theme="11"/>
      <name val="Arial Tur"/>
      <charset val="162"/>
    </font>
    <font>
      <u/>
      <sz val="10"/>
      <color theme="10"/>
      <name val="Arial Tur"/>
      <charset val="162"/>
    </font>
    <font>
      <sz val="10"/>
      <name val="Arial Tur"/>
      <family val="2"/>
      <charset val="162"/>
    </font>
    <font>
      <b/>
      <sz val="10"/>
      <name val="Calibri"/>
      <charset val="162"/>
    </font>
    <font>
      <sz val="11"/>
      <color rgb="FF9C0006"/>
      <name val="Calibri"/>
      <family val="2"/>
      <charset val="162"/>
      <scheme val="minor"/>
    </font>
    <font>
      <b/>
      <sz val="11"/>
      <color rgb="FFFF0000"/>
      <name val="Calibri"/>
      <family val="2"/>
      <charset val="162"/>
    </font>
    <font>
      <sz val="11"/>
      <color rgb="FFFF0000"/>
      <name val="Calibri"/>
      <family val="2"/>
      <charset val="16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60"/>
        <bgColor indexed="25"/>
      </patternFill>
    </fill>
    <fill>
      <patternFill patternType="solid">
        <fgColor theme="0" tint="-0.249977111117893"/>
        <bgColor indexed="34"/>
      </patternFill>
    </fill>
    <fill>
      <patternFill patternType="solid">
        <fgColor theme="0" tint="-0.249977111117893"/>
        <bgColor indexed="59"/>
      </patternFill>
    </fill>
    <fill>
      <patternFill patternType="solid">
        <fgColor theme="0" tint="-0.249977111117893"/>
        <bgColor indexed="25"/>
      </patternFill>
    </fill>
    <fill>
      <patternFill patternType="solid">
        <fgColor rgb="FF993300"/>
      </patternFill>
    </fill>
    <fill>
      <patternFill patternType="solid">
        <fgColor rgb="FFFFC7CE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medium">
        <color indexed="8"/>
      </bottom>
      <diagonal/>
    </border>
    <border>
      <left style="thin">
        <color auto="1"/>
      </left>
      <right style="medium">
        <color auto="1"/>
      </right>
      <top/>
      <bottom style="medium">
        <color indexed="8"/>
      </bottom>
      <diagonal/>
    </border>
    <border>
      <left style="medium">
        <color indexed="64"/>
      </left>
      <right style="thin">
        <color auto="1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auto="1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auto="1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medium">
        <color indexed="8"/>
      </bottom>
      <diagonal/>
    </border>
    <border>
      <left style="thin">
        <color auto="1"/>
      </left>
      <right style="medium">
        <color indexed="64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thin">
        <color auto="1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medium">
        <color indexed="8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438">
    <xf numFmtId="164" fontId="0" fillId="0" borderId="0"/>
    <xf numFmtId="43" fontId="17" fillId="0" borderId="0" applyFont="0" applyFill="0" applyBorder="0" applyAlignment="0" applyProtection="0"/>
    <xf numFmtId="164" fontId="17" fillId="0" borderId="0"/>
    <xf numFmtId="0" fontId="14" fillId="0" borderId="0"/>
    <xf numFmtId="0" fontId="14" fillId="0" borderId="0"/>
    <xf numFmtId="0" fontId="14" fillId="0" borderId="0"/>
    <xf numFmtId="0" fontId="17" fillId="0" borderId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5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0" fontId="19" fillId="9" borderId="0" applyNumberFormat="0" applyBorder="0" applyAlignment="0" applyProtection="0"/>
  </cellStyleXfs>
  <cellXfs count="185">
    <xf numFmtId="164" fontId="0" fillId="0" borderId="0" xfId="0"/>
    <xf numFmtId="164" fontId="1" fillId="0" borderId="0" xfId="0" applyFont="1" applyFill="1"/>
    <xf numFmtId="164" fontId="3" fillId="0" borderId="0" xfId="0" applyFont="1" applyFill="1"/>
    <xf numFmtId="164" fontId="4" fillId="0" borderId="0" xfId="0" applyFont="1" applyFill="1"/>
    <xf numFmtId="164" fontId="5" fillId="0" borderId="0" xfId="0" applyFont="1" applyBorder="1" applyAlignment="1">
      <alignment horizontal="center"/>
    </xf>
    <xf numFmtId="164" fontId="2" fillId="0" borderId="0" xfId="0" applyFont="1" applyBorder="1"/>
    <xf numFmtId="0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/>
    <xf numFmtId="2" fontId="4" fillId="2" borderId="0" xfId="0" applyNumberFormat="1" applyFont="1" applyFill="1" applyBorder="1" applyAlignment="1">
      <alignment horizontal="center"/>
    </xf>
    <xf numFmtId="166" fontId="4" fillId="2" borderId="0" xfId="0" applyNumberFormat="1" applyFont="1" applyFill="1" applyBorder="1" applyAlignment="1">
      <alignment horizontal="center"/>
    </xf>
    <xf numFmtId="164" fontId="4" fillId="2" borderId="0" xfId="0" applyFont="1" applyFill="1" applyBorder="1" applyAlignment="1">
      <alignment horizontal="center"/>
    </xf>
    <xf numFmtId="43" fontId="4" fillId="2" borderId="0" xfId="1" applyFont="1" applyFill="1" applyBorder="1"/>
    <xf numFmtId="49" fontId="4" fillId="2" borderId="0" xfId="0" applyNumberFormat="1" applyFont="1" applyFill="1" applyBorder="1" applyAlignment="1">
      <alignment horizontal="center"/>
    </xf>
    <xf numFmtId="164" fontId="4" fillId="0" borderId="0" xfId="0" applyFont="1" applyFill="1" applyBorder="1"/>
    <xf numFmtId="2" fontId="1" fillId="2" borderId="0" xfId="0" applyNumberFormat="1" applyFont="1" applyFill="1" applyAlignment="1">
      <alignment horizontal="center"/>
    </xf>
    <xf numFmtId="164" fontId="1" fillId="2" borderId="0" xfId="0" applyFont="1" applyFill="1" applyAlignment="1">
      <alignment horizontal="center"/>
    </xf>
    <xf numFmtId="43" fontId="1" fillId="2" borderId="0" xfId="1" applyFont="1" applyFill="1"/>
    <xf numFmtId="49" fontId="1" fillId="2" borderId="0" xfId="0" applyNumberFormat="1" applyFont="1" applyFill="1" applyAlignment="1">
      <alignment horizontal="center"/>
    </xf>
    <xf numFmtId="164" fontId="5" fillId="0" borderId="2" xfId="0" applyFont="1" applyBorder="1" applyAlignment="1">
      <alignment horizontal="left"/>
    </xf>
    <xf numFmtId="164" fontId="5" fillId="0" borderId="0" xfId="0" applyFont="1" applyBorder="1" applyAlignment="1"/>
    <xf numFmtId="164" fontId="2" fillId="0" borderId="0" xfId="0" applyFont="1" applyBorder="1" applyAlignment="1"/>
    <xf numFmtId="4" fontId="2" fillId="0" borderId="0" xfId="0" applyNumberFormat="1" applyFont="1" applyBorder="1" applyAlignment="1">
      <alignment horizontal="center"/>
    </xf>
    <xf numFmtId="3" fontId="2" fillId="0" borderId="0" xfId="0" applyNumberFormat="1" applyFont="1" applyBorder="1"/>
    <xf numFmtId="0" fontId="5" fillId="0" borderId="0" xfId="0" applyNumberFormat="1" applyFont="1" applyBorder="1" applyAlignment="1">
      <alignment horizontal="center"/>
    </xf>
    <xf numFmtId="165" fontId="5" fillId="0" borderId="0" xfId="0" applyNumberFormat="1" applyFont="1" applyBorder="1" applyAlignment="1">
      <alignment horizontal="left"/>
    </xf>
    <xf numFmtId="165" fontId="2" fillId="0" borderId="3" xfId="0" applyNumberFormat="1" applyFont="1" applyBorder="1" applyAlignment="1">
      <alignment horizontal="left"/>
    </xf>
    <xf numFmtId="2" fontId="6" fillId="2" borderId="0" xfId="0" applyNumberFormat="1" applyFont="1" applyFill="1" applyAlignment="1">
      <alignment horizontal="center"/>
    </xf>
    <xf numFmtId="164" fontId="2" fillId="0" borderId="0" xfId="0" applyFont="1" applyBorder="1" applyAlignment="1">
      <alignment horizontal="center"/>
    </xf>
    <xf numFmtId="3" fontId="5" fillId="0" borderId="0" xfId="0" applyNumberFormat="1" applyFont="1" applyBorder="1"/>
    <xf numFmtId="165" fontId="2" fillId="0" borderId="3" xfId="0" applyNumberFormat="1" applyFont="1" applyBorder="1" applyAlignment="1">
      <alignment horizontal="justify"/>
    </xf>
    <xf numFmtId="164" fontId="5" fillId="0" borderId="0" xfId="0" applyFont="1" applyBorder="1" applyAlignment="1">
      <alignment horizontal="center" vertical="top" shrinkToFit="1"/>
    </xf>
    <xf numFmtId="3" fontId="5" fillId="0" borderId="0" xfId="0" applyNumberFormat="1" applyFont="1" applyBorder="1" applyAlignment="1">
      <alignment horizontal="center" vertical="top" shrinkToFit="1"/>
    </xf>
    <xf numFmtId="2" fontId="2" fillId="2" borderId="0" xfId="0" applyNumberFormat="1" applyFont="1" applyFill="1" applyAlignment="1">
      <alignment horizontal="center"/>
    </xf>
    <xf numFmtId="43" fontId="2" fillId="2" borderId="0" xfId="1" applyFont="1" applyFill="1"/>
    <xf numFmtId="4" fontId="6" fillId="2" borderId="0" xfId="0" applyNumberFormat="1" applyFont="1" applyFill="1" applyBorder="1" applyAlignment="1">
      <alignment horizontal="center"/>
    </xf>
    <xf numFmtId="167" fontId="5" fillId="2" borderId="0" xfId="0" applyNumberFormat="1" applyFont="1" applyFill="1" applyBorder="1" applyAlignment="1">
      <alignment horizontal="center"/>
    </xf>
    <xf numFmtId="166" fontId="6" fillId="2" borderId="0" xfId="0" applyNumberFormat="1" applyFont="1" applyFill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2" fillId="2" borderId="0" xfId="0" applyFont="1" applyFill="1" applyAlignment="1">
      <alignment horizontal="center"/>
    </xf>
    <xf numFmtId="2" fontId="5" fillId="5" borderId="0" xfId="0" applyNumberFormat="1" applyFont="1" applyFill="1" applyAlignment="1">
      <alignment horizontal="center"/>
    </xf>
    <xf numFmtId="4" fontId="2" fillId="2" borderId="0" xfId="0" applyNumberFormat="1" applyFont="1" applyFill="1" applyAlignment="1">
      <alignment horizontal="center"/>
    </xf>
    <xf numFmtId="168" fontId="5" fillId="5" borderId="0" xfId="0" applyNumberFormat="1" applyFont="1" applyFill="1" applyAlignment="1">
      <alignment horizontal="center"/>
    </xf>
    <xf numFmtId="4" fontId="5" fillId="0" borderId="0" xfId="0" applyNumberFormat="1" applyFont="1" applyBorder="1" applyAlignment="1">
      <alignment horizontal="right"/>
    </xf>
    <xf numFmtId="164" fontId="7" fillId="4" borderId="7" xfId="0" applyFont="1" applyFill="1" applyBorder="1" applyAlignment="1">
      <alignment horizontal="center" vertical="top"/>
    </xf>
    <xf numFmtId="0" fontId="7" fillId="4" borderId="8" xfId="0" applyNumberFormat="1" applyFont="1" applyFill="1" applyBorder="1" applyAlignment="1">
      <alignment horizontal="center" vertical="top"/>
    </xf>
    <xf numFmtId="165" fontId="7" fillId="4" borderId="9" xfId="0" applyNumberFormat="1" applyFont="1" applyFill="1" applyBorder="1" applyAlignment="1">
      <alignment horizontal="center" vertical="top"/>
    </xf>
    <xf numFmtId="2" fontId="9" fillId="6" borderId="0" xfId="0" applyNumberFormat="1" applyFont="1" applyFill="1" applyAlignment="1">
      <alignment horizontal="center" wrapText="1"/>
    </xf>
    <xf numFmtId="166" fontId="9" fillId="6" borderId="0" xfId="0" applyNumberFormat="1" applyFont="1" applyFill="1" applyAlignment="1">
      <alignment horizontal="center" wrapText="1"/>
    </xf>
    <xf numFmtId="164" fontId="9" fillId="6" borderId="0" xfId="0" applyFont="1" applyFill="1" applyAlignment="1">
      <alignment horizontal="center" wrapText="1"/>
    </xf>
    <xf numFmtId="43" fontId="9" fillId="6" borderId="0" xfId="1" applyFont="1" applyFill="1" applyAlignment="1">
      <alignment horizontal="center" wrapText="1"/>
    </xf>
    <xf numFmtId="2" fontId="9" fillId="6" borderId="0" xfId="1" applyNumberFormat="1" applyFont="1" applyFill="1" applyAlignment="1">
      <alignment horizontal="center" wrapText="1"/>
    </xf>
    <xf numFmtId="49" fontId="9" fillId="6" borderId="0" xfId="1" applyNumberFormat="1" applyFont="1" applyFill="1" applyAlignment="1">
      <alignment horizontal="center" wrapText="1"/>
    </xf>
    <xf numFmtId="164" fontId="7" fillId="4" borderId="10" xfId="0" applyFont="1" applyFill="1" applyBorder="1" applyAlignment="1">
      <alignment horizontal="center" vertical="top"/>
    </xf>
    <xf numFmtId="164" fontId="7" fillId="4" borderId="11" xfId="0" applyFont="1" applyFill="1" applyBorder="1" applyAlignment="1">
      <alignment horizontal="center" vertical="top"/>
    </xf>
    <xf numFmtId="4" fontId="7" fillId="4" borderId="13" xfId="0" applyNumberFormat="1" applyFont="1" applyFill="1" applyBorder="1" applyAlignment="1">
      <alignment horizontal="center" vertical="top" wrapText="1"/>
    </xf>
    <xf numFmtId="4" fontId="7" fillId="4" borderId="14" xfId="0" applyNumberFormat="1" applyFont="1" applyFill="1" applyBorder="1" applyAlignment="1">
      <alignment horizontal="center" vertical="top" wrapText="1"/>
    </xf>
    <xf numFmtId="165" fontId="7" fillId="4" borderId="15" xfId="0" applyNumberFormat="1" applyFont="1" applyFill="1" applyBorder="1" applyAlignment="1">
      <alignment horizontal="center" vertical="top"/>
    </xf>
    <xf numFmtId="164" fontId="3" fillId="7" borderId="0" xfId="0" applyFont="1" applyFill="1" applyAlignment="1">
      <alignment horizontal="center"/>
    </xf>
    <xf numFmtId="43" fontId="3" fillId="7" borderId="0" xfId="1" applyFont="1" applyFill="1"/>
    <xf numFmtId="2" fontId="3" fillId="7" borderId="0" xfId="0" applyNumberFormat="1" applyFont="1" applyFill="1" applyAlignment="1">
      <alignment horizontal="center"/>
    </xf>
    <xf numFmtId="49" fontId="3" fillId="7" borderId="0" xfId="0" applyNumberFormat="1" applyFont="1" applyFill="1" applyAlignment="1">
      <alignment horizontal="center"/>
    </xf>
    <xf numFmtId="164" fontId="3" fillId="2" borderId="0" xfId="0" applyFont="1" applyFill="1" applyAlignment="1">
      <alignment horizontal="center"/>
    </xf>
    <xf numFmtId="43" fontId="3" fillId="2" borderId="0" xfId="1" applyFont="1" applyFill="1"/>
    <xf numFmtId="2" fontId="3" fillId="2" borderId="0" xfId="0" applyNumberFormat="1" applyFont="1" applyFill="1" applyAlignment="1">
      <alignment horizontal="center"/>
    </xf>
    <xf numFmtId="49" fontId="3" fillId="2" borderId="0" xfId="0" applyNumberFormat="1" applyFont="1" applyFill="1" applyAlignment="1">
      <alignment horizontal="center"/>
    </xf>
    <xf numFmtId="49" fontId="5" fillId="0" borderId="16" xfId="0" applyNumberFormat="1" applyFont="1" applyFill="1" applyBorder="1" applyAlignment="1">
      <alignment horizontal="center" vertical="top"/>
    </xf>
    <xf numFmtId="4" fontId="5" fillId="0" borderId="17" xfId="0" applyNumberFormat="1" applyFont="1" applyFill="1" applyBorder="1" applyAlignment="1">
      <alignment horizontal="center" vertical="top"/>
    </xf>
    <xf numFmtId="3" fontId="5" fillId="0" borderId="17" xfId="0" applyNumberFormat="1" applyFont="1" applyFill="1" applyBorder="1" applyAlignment="1">
      <alignment horizontal="center" vertical="top"/>
    </xf>
    <xf numFmtId="4" fontId="5" fillId="0" borderId="18" xfId="0" applyNumberFormat="1" applyFont="1" applyFill="1" applyBorder="1" applyAlignment="1">
      <alignment horizontal="center" vertical="top"/>
    </xf>
    <xf numFmtId="165" fontId="5" fillId="0" borderId="19" xfId="0" applyNumberFormat="1" applyFont="1" applyFill="1" applyBorder="1" applyAlignment="1">
      <alignment horizontal="center" vertical="top"/>
    </xf>
    <xf numFmtId="1" fontId="1" fillId="2" borderId="0" xfId="0" applyNumberFormat="1" applyFont="1" applyFill="1" applyAlignment="1">
      <alignment horizontal="center"/>
    </xf>
    <xf numFmtId="1" fontId="4" fillId="2" borderId="0" xfId="0" applyNumberFormat="1" applyFont="1" applyFill="1" applyAlignment="1">
      <alignment horizontal="center"/>
    </xf>
    <xf numFmtId="164" fontId="12" fillId="8" borderId="20" xfId="0" applyFont="1" applyFill="1" applyBorder="1" applyAlignment="1">
      <alignment horizontal="center" vertical="top"/>
    </xf>
    <xf numFmtId="0" fontId="5" fillId="0" borderId="20" xfId="0" applyNumberFormat="1" applyFont="1" applyFill="1" applyBorder="1" applyAlignment="1">
      <alignment horizontal="center" vertical="top"/>
    </xf>
    <xf numFmtId="164" fontId="2" fillId="0" borderId="20" xfId="0" applyFont="1" applyFill="1" applyBorder="1" applyAlignment="1">
      <alignment horizontal="left" vertical="top"/>
    </xf>
    <xf numFmtId="164" fontId="5" fillId="0" borderId="20" xfId="0" applyFont="1" applyFill="1" applyBorder="1" applyAlignment="1">
      <alignment horizontal="left" vertical="top"/>
    </xf>
    <xf numFmtId="1" fontId="6" fillId="2" borderId="0" xfId="0" applyNumberFormat="1" applyFont="1" applyFill="1" applyAlignment="1">
      <alignment horizontal="center"/>
    </xf>
    <xf numFmtId="1" fontId="13" fillId="2" borderId="0" xfId="0" applyNumberFormat="1" applyFont="1" applyFill="1" applyAlignment="1">
      <alignment horizontal="center"/>
    </xf>
    <xf numFmtId="164" fontId="6" fillId="2" borderId="0" xfId="0" applyFont="1" applyFill="1" applyAlignment="1">
      <alignment horizontal="center"/>
    </xf>
    <xf numFmtId="164" fontId="5" fillId="0" borderId="21" xfId="0" applyFont="1" applyBorder="1" applyAlignment="1">
      <alignment horizontal="center"/>
    </xf>
    <xf numFmtId="165" fontId="2" fillId="0" borderId="22" xfId="0" applyNumberFormat="1" applyFont="1" applyBorder="1"/>
    <xf numFmtId="165" fontId="5" fillId="0" borderId="22" xfId="0" applyNumberFormat="1" applyFont="1" applyBorder="1" applyAlignment="1">
      <alignment horizontal="center"/>
    </xf>
    <xf numFmtId="2" fontId="13" fillId="2" borderId="0" xfId="0" applyNumberFormat="1" applyFont="1" applyFill="1" applyBorder="1" applyAlignment="1">
      <alignment horizontal="center"/>
    </xf>
    <xf numFmtId="166" fontId="13" fillId="2" borderId="0" xfId="0" applyNumberFormat="1" applyFont="1" applyFill="1" applyBorder="1" applyAlignment="1">
      <alignment horizontal="center"/>
    </xf>
    <xf numFmtId="164" fontId="13" fillId="2" borderId="0" xfId="0" applyFont="1" applyFill="1" applyBorder="1" applyAlignment="1">
      <alignment horizontal="center"/>
    </xf>
    <xf numFmtId="170" fontId="5" fillId="0" borderId="17" xfId="0" applyNumberFormat="1" applyFont="1" applyFill="1" applyBorder="1" applyAlignment="1">
      <alignment horizontal="center" vertical="top"/>
    </xf>
    <xf numFmtId="170" fontId="5" fillId="0" borderId="18" xfId="0" applyNumberFormat="1" applyFont="1" applyFill="1" applyBorder="1" applyAlignment="1">
      <alignment horizontal="center" vertical="top"/>
    </xf>
    <xf numFmtId="2" fontId="5" fillId="2" borderId="0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/>
    </xf>
    <xf numFmtId="164" fontId="4" fillId="2" borderId="0" xfId="0" applyFont="1" applyFill="1" applyAlignment="1">
      <alignment horizontal="center"/>
    </xf>
    <xf numFmtId="43" fontId="4" fillId="2" borderId="0" xfId="1" applyFont="1" applyFill="1"/>
    <xf numFmtId="49" fontId="4" fillId="2" borderId="0" xfId="0" applyNumberFormat="1" applyFont="1" applyFill="1" applyAlignment="1">
      <alignment horizontal="center"/>
    </xf>
    <xf numFmtId="49" fontId="5" fillId="0" borderId="23" xfId="0" applyNumberFormat="1" applyFont="1" applyFill="1" applyBorder="1" applyAlignment="1">
      <alignment horizontal="center" vertical="center"/>
    </xf>
    <xf numFmtId="4" fontId="11" fillId="0" borderId="24" xfId="0" applyNumberFormat="1" applyFont="1" applyFill="1" applyBorder="1" applyAlignment="1">
      <alignment horizontal="center" vertical="top"/>
    </xf>
    <xf numFmtId="3" fontId="11" fillId="0" borderId="25" xfId="0" applyNumberFormat="1" applyFont="1" applyFill="1" applyBorder="1" applyAlignment="1">
      <alignment horizontal="center" vertical="top"/>
    </xf>
    <xf numFmtId="169" fontId="5" fillId="0" borderId="17" xfId="0" applyNumberFormat="1" applyFont="1" applyFill="1" applyBorder="1" applyAlignment="1">
      <alignment horizontal="center" vertical="top"/>
    </xf>
    <xf numFmtId="0" fontId="5" fillId="0" borderId="25" xfId="0" applyNumberFormat="1" applyFont="1" applyFill="1" applyBorder="1" applyAlignment="1">
      <alignment horizontal="center" vertical="top"/>
    </xf>
    <xf numFmtId="49" fontId="5" fillId="0" borderId="26" xfId="0" applyNumberFormat="1" applyFont="1" applyBorder="1" applyAlignment="1">
      <alignment horizontal="center" vertical="top"/>
    </xf>
    <xf numFmtId="164" fontId="2" fillId="0" borderId="27" xfId="0" applyFont="1" applyBorder="1"/>
    <xf numFmtId="164" fontId="2" fillId="0" borderId="28" xfId="0" applyFont="1" applyBorder="1"/>
    <xf numFmtId="166" fontId="9" fillId="2" borderId="0" xfId="0" applyNumberFormat="1" applyFont="1" applyFill="1" applyAlignment="1" applyProtection="1">
      <alignment horizontal="center" vertical="center"/>
    </xf>
    <xf numFmtId="164" fontId="13" fillId="2" borderId="0" xfId="0" applyFont="1" applyFill="1" applyAlignment="1">
      <alignment horizontal="center"/>
    </xf>
    <xf numFmtId="49" fontId="5" fillId="0" borderId="2" xfId="0" applyNumberFormat="1" applyFont="1" applyBorder="1" applyAlignment="1">
      <alignment horizontal="center" vertical="top"/>
    </xf>
    <xf numFmtId="164" fontId="2" fillId="0" borderId="2" xfId="0" applyFont="1" applyBorder="1"/>
    <xf numFmtId="2" fontId="6" fillId="2" borderId="0" xfId="0" applyNumberFormat="1" applyFont="1" applyFill="1" applyAlignment="1" applyProtection="1">
      <alignment horizontal="center"/>
    </xf>
    <xf numFmtId="164" fontId="2" fillId="0" borderId="4" xfId="0" applyFont="1" applyBorder="1"/>
    <xf numFmtId="164" fontId="2" fillId="0" borderId="5" xfId="0" applyFont="1" applyBorder="1"/>
    <xf numFmtId="164" fontId="7" fillId="0" borderId="5" xfId="0" applyNumberFormat="1" applyFont="1" applyFill="1" applyBorder="1" applyAlignment="1">
      <alignment horizontal="right"/>
    </xf>
    <xf numFmtId="0" fontId="7" fillId="0" borderId="5" xfId="0" applyNumberFormat="1" applyFont="1" applyFill="1" applyBorder="1" applyAlignment="1">
      <alignment horizontal="center"/>
    </xf>
    <xf numFmtId="165" fontId="7" fillId="0" borderId="5" xfId="0" applyNumberFormat="1" applyFont="1" applyFill="1" applyBorder="1" applyAlignment="1">
      <alignment horizontal="right"/>
    </xf>
    <xf numFmtId="165" fontId="7" fillId="0" borderId="6" xfId="0" applyNumberFormat="1" applyFont="1" applyFill="1" applyBorder="1" applyAlignment="1">
      <alignment horizontal="right" vertical="top"/>
    </xf>
    <xf numFmtId="166" fontId="6" fillId="2" borderId="0" xfId="0" applyNumberFormat="1" applyFont="1" applyFill="1" applyAlignment="1" applyProtection="1">
      <alignment horizontal="center"/>
    </xf>
    <xf numFmtId="166" fontId="4" fillId="2" borderId="0" xfId="0" applyNumberFormat="1" applyFont="1" applyFill="1" applyAlignment="1">
      <alignment horizontal="center"/>
    </xf>
    <xf numFmtId="164" fontId="2" fillId="0" borderId="20" xfId="0" applyFont="1" applyBorder="1"/>
    <xf numFmtId="0" fontId="2" fillId="0" borderId="20" xfId="0" applyNumberFormat="1" applyFont="1" applyBorder="1" applyAlignment="1">
      <alignment horizontal="center"/>
    </xf>
    <xf numFmtId="165" fontId="2" fillId="0" borderId="20" xfId="0" applyNumberFormat="1" applyFont="1" applyBorder="1"/>
    <xf numFmtId="164" fontId="7" fillId="4" borderId="8" xfId="0" applyFont="1" applyFill="1" applyBorder="1" applyAlignment="1">
      <alignment horizontal="center" vertical="top"/>
    </xf>
    <xf numFmtId="4" fontId="7" fillId="4" borderId="8" xfId="0" applyNumberFormat="1" applyFont="1" applyFill="1" applyBorder="1" applyAlignment="1">
      <alignment horizontal="center" vertical="top"/>
    </xf>
    <xf numFmtId="165" fontId="7" fillId="4" borderId="8" xfId="0" applyNumberFormat="1" applyFont="1" applyFill="1" applyBorder="1" applyAlignment="1">
      <alignment horizontal="center" vertical="top"/>
    </xf>
    <xf numFmtId="4" fontId="7" fillId="4" borderId="14" xfId="0" applyNumberFormat="1" applyFont="1" applyFill="1" applyBorder="1" applyAlignment="1">
      <alignment horizontal="center" vertical="top"/>
    </xf>
    <xf numFmtId="0" fontId="7" fillId="4" borderId="14" xfId="0" applyNumberFormat="1" applyFont="1" applyFill="1" applyBorder="1" applyAlignment="1">
      <alignment horizontal="center" vertical="top"/>
    </xf>
    <xf numFmtId="165" fontId="7" fillId="4" borderId="14" xfId="0" applyNumberFormat="1" applyFont="1" applyFill="1" applyBorder="1" applyAlignment="1">
      <alignment horizontal="center" vertical="top"/>
    </xf>
    <xf numFmtId="4" fontId="5" fillId="0" borderId="20" xfId="0" applyNumberFormat="1" applyFont="1" applyFill="1" applyBorder="1" applyAlignment="1">
      <alignment horizontal="center" vertical="top"/>
    </xf>
    <xf numFmtId="4" fontId="11" fillId="0" borderId="20" xfId="0" applyNumberFormat="1" applyFont="1" applyFill="1" applyBorder="1" applyAlignment="1">
      <alignment horizontal="center" vertical="top"/>
    </xf>
    <xf numFmtId="3" fontId="11" fillId="0" borderId="20" xfId="0" applyNumberFormat="1" applyFont="1" applyFill="1" applyBorder="1" applyAlignment="1">
      <alignment horizontal="center" vertical="top"/>
    </xf>
    <xf numFmtId="3" fontId="10" fillId="0" borderId="20" xfId="0" applyNumberFormat="1" applyFont="1" applyFill="1" applyBorder="1" applyAlignment="1">
      <alignment horizontal="center" vertical="top"/>
    </xf>
    <xf numFmtId="4" fontId="10" fillId="0" borderId="20" xfId="0" applyNumberFormat="1" applyFont="1" applyFill="1" applyBorder="1" applyAlignment="1">
      <alignment horizontal="center" vertical="top"/>
    </xf>
    <xf numFmtId="4" fontId="5" fillId="0" borderId="25" xfId="0" applyNumberFormat="1" applyFont="1" applyFill="1" applyBorder="1" applyAlignment="1">
      <alignment horizontal="center" vertical="top"/>
    </xf>
    <xf numFmtId="165" fontId="5" fillId="0" borderId="20" xfId="0" applyNumberFormat="1" applyFont="1" applyFill="1" applyBorder="1" applyAlignment="1">
      <alignment horizontal="center" vertical="top"/>
    </xf>
    <xf numFmtId="49" fontId="5" fillId="0" borderId="21" xfId="0" applyNumberFormat="1" applyFont="1" applyFill="1" applyBorder="1" applyAlignment="1">
      <alignment horizontal="center" vertical="top"/>
    </xf>
    <xf numFmtId="165" fontId="5" fillId="0" borderId="22" xfId="0" applyNumberFormat="1" applyFont="1" applyFill="1" applyBorder="1" applyAlignment="1">
      <alignment horizontal="center" vertical="top"/>
    </xf>
    <xf numFmtId="164" fontId="5" fillId="0" borderId="20" xfId="0" applyFont="1" applyBorder="1" applyAlignment="1">
      <alignment horizontal="left"/>
    </xf>
    <xf numFmtId="164" fontId="5" fillId="0" borderId="20" xfId="0" applyFont="1" applyBorder="1" applyAlignment="1">
      <alignment horizontal="center"/>
    </xf>
    <xf numFmtId="0" fontId="5" fillId="0" borderId="20" xfId="0" applyNumberFormat="1" applyFont="1" applyBorder="1" applyAlignment="1">
      <alignment horizontal="center"/>
    </xf>
    <xf numFmtId="165" fontId="5" fillId="0" borderId="20" xfId="0" applyNumberFormat="1" applyFont="1" applyBorder="1" applyAlignment="1">
      <alignment horizontal="center"/>
    </xf>
    <xf numFmtId="164" fontId="12" fillId="8" borderId="20" xfId="0" applyFont="1" applyFill="1" applyBorder="1" applyAlignment="1">
      <alignment horizontal="center"/>
    </xf>
    <xf numFmtId="164" fontId="5" fillId="0" borderId="31" xfId="0" applyFont="1" applyBorder="1" applyAlignment="1">
      <alignment horizontal="center"/>
    </xf>
    <xf numFmtId="164" fontId="2" fillId="0" borderId="32" xfId="0" applyFont="1" applyBorder="1"/>
    <xf numFmtId="0" fontId="2" fillId="0" borderId="32" xfId="0" applyNumberFormat="1" applyFont="1" applyBorder="1" applyAlignment="1">
      <alignment horizontal="center"/>
    </xf>
    <xf numFmtId="165" fontId="2" fillId="0" borderId="32" xfId="0" applyNumberFormat="1" applyFont="1" applyBorder="1"/>
    <xf numFmtId="165" fontId="2" fillId="0" borderId="33" xfId="0" applyNumberFormat="1" applyFont="1" applyBorder="1"/>
    <xf numFmtId="164" fontId="5" fillId="0" borderId="34" xfId="0" applyFont="1" applyBorder="1" applyAlignment="1">
      <alignment horizontal="center"/>
    </xf>
    <xf numFmtId="164" fontId="12" fillId="8" borderId="35" xfId="0" applyFont="1" applyFill="1" applyBorder="1" applyAlignment="1">
      <alignment horizontal="center"/>
    </xf>
    <xf numFmtId="164" fontId="2" fillId="0" borderId="35" xfId="0" applyFont="1" applyBorder="1"/>
    <xf numFmtId="0" fontId="2" fillId="0" borderId="35" xfId="0" applyNumberFormat="1" applyFont="1" applyBorder="1" applyAlignment="1">
      <alignment horizontal="center"/>
    </xf>
    <xf numFmtId="165" fontId="2" fillId="0" borderId="35" xfId="0" applyNumberFormat="1" applyFont="1" applyBorder="1"/>
    <xf numFmtId="165" fontId="2" fillId="0" borderId="36" xfId="0" applyNumberFormat="1" applyFont="1" applyBorder="1"/>
    <xf numFmtId="164" fontId="5" fillId="0" borderId="32" xfId="0" applyFont="1" applyBorder="1" applyAlignment="1">
      <alignment horizontal="left"/>
    </xf>
    <xf numFmtId="164" fontId="5" fillId="0" borderId="32" xfId="0" applyFont="1" applyBorder="1" applyAlignment="1">
      <alignment horizontal="center"/>
    </xf>
    <xf numFmtId="0" fontId="5" fillId="0" borderId="32" xfId="0" applyNumberFormat="1" applyFont="1" applyBorder="1" applyAlignment="1">
      <alignment horizontal="center"/>
    </xf>
    <xf numFmtId="165" fontId="5" fillId="0" borderId="32" xfId="0" applyNumberFormat="1" applyFont="1" applyBorder="1" applyAlignment="1">
      <alignment horizontal="center"/>
    </xf>
    <xf numFmtId="165" fontId="5" fillId="0" borderId="33" xfId="0" applyNumberFormat="1" applyFont="1" applyBorder="1" applyAlignment="1">
      <alignment horizontal="center"/>
    </xf>
    <xf numFmtId="164" fontId="5" fillId="0" borderId="35" xfId="0" applyFont="1" applyBorder="1" applyAlignment="1">
      <alignment horizontal="left"/>
    </xf>
    <xf numFmtId="164" fontId="5" fillId="0" borderId="35" xfId="0" applyFont="1" applyBorder="1" applyAlignment="1">
      <alignment horizontal="center"/>
    </xf>
    <xf numFmtId="0" fontId="5" fillId="0" borderId="35" xfId="0" applyNumberFormat="1" applyFont="1" applyBorder="1" applyAlignment="1">
      <alignment horizontal="center"/>
    </xf>
    <xf numFmtId="165" fontId="5" fillId="0" borderId="35" xfId="0" applyNumberFormat="1" applyFont="1" applyBorder="1" applyAlignment="1">
      <alignment horizontal="center"/>
    </xf>
    <xf numFmtId="165" fontId="5" fillId="0" borderId="36" xfId="0" applyNumberFormat="1" applyFont="1" applyBorder="1" applyAlignment="1">
      <alignment horizontal="center"/>
    </xf>
    <xf numFmtId="164" fontId="5" fillId="0" borderId="24" xfId="0" applyFont="1" applyFill="1" applyBorder="1" applyAlignment="1">
      <alignment horizontal="left" vertical="top"/>
    </xf>
    <xf numFmtId="4" fontId="5" fillId="0" borderId="24" xfId="0" applyNumberFormat="1" applyFont="1" applyFill="1" applyBorder="1" applyAlignment="1">
      <alignment horizontal="center" vertical="top"/>
    </xf>
    <xf numFmtId="165" fontId="5" fillId="0" borderId="20" xfId="0" applyNumberFormat="1" applyFont="1" applyFill="1" applyBorder="1" applyAlignment="1">
      <alignment horizontal="right" vertical="top"/>
    </xf>
    <xf numFmtId="165" fontId="5" fillId="0" borderId="22" xfId="0" applyNumberFormat="1" applyFont="1" applyFill="1" applyBorder="1" applyAlignment="1">
      <alignment horizontal="right" vertical="top"/>
    </xf>
    <xf numFmtId="165" fontId="7" fillId="4" borderId="39" xfId="0" applyNumberFormat="1" applyFont="1" applyFill="1" applyBorder="1" applyAlignment="1">
      <alignment horizontal="right" vertical="top"/>
    </xf>
    <xf numFmtId="171" fontId="7" fillId="4" borderId="37" xfId="0" applyNumberFormat="1" applyFont="1" applyFill="1" applyBorder="1" applyAlignment="1">
      <alignment horizontal="left"/>
    </xf>
    <xf numFmtId="171" fontId="7" fillId="4" borderId="38" xfId="0" applyNumberFormat="1" applyFont="1" applyFill="1" applyBorder="1" applyAlignment="1">
      <alignment horizontal="left"/>
    </xf>
    <xf numFmtId="165" fontId="7" fillId="4" borderId="38" xfId="0" applyNumberFormat="1" applyFont="1" applyFill="1" applyBorder="1" applyAlignment="1">
      <alignment horizontal="left"/>
    </xf>
    <xf numFmtId="164" fontId="2" fillId="3" borderId="1" xfId="0" applyFont="1" applyFill="1" applyBorder="1" applyAlignment="1">
      <alignment horizontal="center" vertical="center" wrapText="1"/>
    </xf>
    <xf numFmtId="164" fontId="2" fillId="3" borderId="29" xfId="0" applyFont="1" applyFill="1" applyBorder="1" applyAlignment="1">
      <alignment horizontal="center" vertical="center" wrapText="1"/>
    </xf>
    <xf numFmtId="165" fontId="2" fillId="3" borderId="29" xfId="0" applyNumberFormat="1" applyFont="1" applyFill="1" applyBorder="1" applyAlignment="1">
      <alignment horizontal="center" vertical="center" wrapText="1"/>
    </xf>
    <xf numFmtId="165" fontId="2" fillId="3" borderId="30" xfId="0" applyNumberFormat="1" applyFont="1" applyFill="1" applyBorder="1" applyAlignment="1">
      <alignment horizontal="center" vertical="center" wrapText="1"/>
    </xf>
    <xf numFmtId="164" fontId="2" fillId="3" borderId="2" xfId="0" applyFont="1" applyFill="1" applyBorder="1" applyAlignment="1">
      <alignment horizontal="center" vertical="center" wrapText="1"/>
    </xf>
    <xf numFmtId="164" fontId="2" fillId="3" borderId="0" xfId="0" applyFont="1" applyFill="1" applyBorder="1" applyAlignment="1">
      <alignment horizontal="center" vertical="center" wrapText="1"/>
    </xf>
    <xf numFmtId="165" fontId="2" fillId="3" borderId="0" xfId="0" applyNumberFormat="1" applyFont="1" applyFill="1" applyBorder="1" applyAlignment="1">
      <alignment horizontal="center" vertical="center" wrapText="1"/>
    </xf>
    <xf numFmtId="165" fontId="2" fillId="3" borderId="3" xfId="0" applyNumberFormat="1" applyFont="1" applyFill="1" applyBorder="1" applyAlignment="1">
      <alignment horizontal="center" vertical="center" wrapText="1"/>
    </xf>
    <xf numFmtId="4" fontId="7" fillId="4" borderId="12" xfId="0" applyNumberFormat="1" applyFont="1" applyFill="1" applyBorder="1" applyAlignment="1">
      <alignment horizontal="center" vertical="top" wrapText="1"/>
    </xf>
    <xf numFmtId="164" fontId="20" fillId="0" borderId="21" xfId="0" applyFont="1" applyBorder="1" applyAlignment="1">
      <alignment horizontal="center"/>
    </xf>
    <xf numFmtId="164" fontId="20" fillId="0" borderId="20" xfId="0" applyFont="1" applyBorder="1" applyAlignment="1">
      <alignment horizontal="left"/>
    </xf>
    <xf numFmtId="164" fontId="20" fillId="0" borderId="20" xfId="0" applyFont="1" applyBorder="1" applyAlignment="1">
      <alignment horizontal="center"/>
    </xf>
    <xf numFmtId="0" fontId="20" fillId="0" borderId="20" xfId="0" applyNumberFormat="1" applyFont="1" applyBorder="1" applyAlignment="1">
      <alignment horizontal="center"/>
    </xf>
    <xf numFmtId="165" fontId="20" fillId="0" borderId="20" xfId="0" applyNumberFormat="1" applyFont="1" applyBorder="1" applyAlignment="1">
      <alignment horizontal="center"/>
    </xf>
    <xf numFmtId="165" fontId="20" fillId="0" borderId="22" xfId="0" applyNumberFormat="1" applyFont="1" applyBorder="1" applyAlignment="1">
      <alignment horizontal="center"/>
    </xf>
    <xf numFmtId="164" fontId="21" fillId="0" borderId="20" xfId="0" applyFont="1" applyBorder="1"/>
    <xf numFmtId="0" fontId="21" fillId="0" borderId="20" xfId="0" applyNumberFormat="1" applyFont="1" applyBorder="1" applyAlignment="1">
      <alignment horizontal="center"/>
    </xf>
    <xf numFmtId="165" fontId="21" fillId="0" borderId="20" xfId="0" applyNumberFormat="1" applyFont="1" applyBorder="1"/>
    <xf numFmtId="165" fontId="21" fillId="0" borderId="22" xfId="0" applyNumberFormat="1" applyFont="1" applyBorder="1"/>
    <xf numFmtId="164" fontId="19" fillId="9" borderId="0" xfId="437" applyNumberFormat="1"/>
  </cellXfs>
  <cellStyles count="438">
    <cellStyle name="İzlenen Köprü" xfId="7" builtinId="9" hidden="1"/>
    <cellStyle name="İzlenen Köprü" xfId="8" builtinId="9" hidden="1"/>
    <cellStyle name="İzlenen Köprü" xfId="9" builtinId="9" hidden="1"/>
    <cellStyle name="İzlenen Köprü" xfId="10" builtinId="9" hidden="1"/>
    <cellStyle name="İzlenen Köprü" xfId="11" builtinId="9" hidden="1"/>
    <cellStyle name="İzlenen Köprü" xfId="12" builtinId="9" hidden="1"/>
    <cellStyle name="İzlenen Köprü" xfId="13" builtinId="9" hidden="1"/>
    <cellStyle name="İzlenen Köprü" xfId="14" builtinId="9" hidden="1"/>
    <cellStyle name="İzlenen Köprü" xfId="15" builtinId="9" hidden="1"/>
    <cellStyle name="İzlenen Köprü" xfId="16" builtinId="9" hidden="1"/>
    <cellStyle name="İzlenen Köprü" xfId="17" builtinId="9" hidden="1"/>
    <cellStyle name="İzlenen Köprü" xfId="18" builtinId="9" hidden="1"/>
    <cellStyle name="İzlenen Köprü" xfId="19" builtinId="9" hidden="1"/>
    <cellStyle name="İzlenen Köprü" xfId="20" builtinId="9" hidden="1"/>
    <cellStyle name="İzlenen Köprü" xfId="21" builtinId="9" hidden="1"/>
    <cellStyle name="İzlenen Köprü" xfId="22" builtinId="9" hidden="1"/>
    <cellStyle name="İzlenen Köprü" xfId="23" builtinId="9" hidden="1"/>
    <cellStyle name="İzlenen Köprü" xfId="24" builtinId="9" hidden="1"/>
    <cellStyle name="İzlenen Köprü" xfId="25" builtinId="9" hidden="1"/>
    <cellStyle name="İzlenen Köprü" xfId="26" builtinId="9" hidden="1"/>
    <cellStyle name="İzlenen Köprü" xfId="27" builtinId="9" hidden="1"/>
    <cellStyle name="İzlenen Köprü" xfId="28" builtinId="9" hidden="1"/>
    <cellStyle name="İzlenen Köprü" xfId="29" builtinId="9" hidden="1"/>
    <cellStyle name="İzlenen Köprü" xfId="30" builtinId="9" hidden="1"/>
    <cellStyle name="İzlenen Köprü" xfId="31" builtinId="9" hidden="1"/>
    <cellStyle name="İzlenen Köprü" xfId="32" builtinId="9" hidden="1"/>
    <cellStyle name="İzlenen Köprü" xfId="33" builtinId="9" hidden="1"/>
    <cellStyle name="İzlenen Köprü" xfId="34" builtinId="9" hidden="1"/>
    <cellStyle name="İzlenen Köprü" xfId="35" builtinId="9" hidden="1"/>
    <cellStyle name="İzlenen Köprü" xfId="36" builtinId="9" hidden="1"/>
    <cellStyle name="İzlenen Köprü" xfId="37" builtinId="9" hidden="1"/>
    <cellStyle name="İzlenen Köprü" xfId="38" builtinId="9" hidden="1"/>
    <cellStyle name="İzlenen Köprü" xfId="39" builtinId="9" hidden="1"/>
    <cellStyle name="İzlenen Köprü" xfId="40" builtinId="9" hidden="1"/>
    <cellStyle name="İzlenen Köprü" xfId="41" builtinId="9" hidden="1"/>
    <cellStyle name="İzlenen Köprü" xfId="42" builtinId="9" hidden="1"/>
    <cellStyle name="İzlenen Köprü" xfId="43" builtinId="9" hidden="1"/>
    <cellStyle name="İzlenen Köprü" xfId="44" builtinId="9" hidden="1"/>
    <cellStyle name="İzlenen Köprü" xfId="45" builtinId="9" hidden="1"/>
    <cellStyle name="İzlenen Köprü" xfId="46" builtinId="9" hidden="1"/>
    <cellStyle name="İzlenen Köprü" xfId="47" builtinId="9" hidden="1"/>
    <cellStyle name="İzlenen Köprü" xfId="48" builtinId="9" hidden="1"/>
    <cellStyle name="İzlenen Köprü" xfId="49" builtinId="9" hidden="1"/>
    <cellStyle name="İzlenen Köprü" xfId="50" builtinId="9" hidden="1"/>
    <cellStyle name="İzlenen Köprü" xfId="51" builtinId="9" hidden="1"/>
    <cellStyle name="İzlenen Köprü" xfId="52" builtinId="9" hidden="1"/>
    <cellStyle name="İzlenen Köprü" xfId="53" builtinId="9" hidden="1"/>
    <cellStyle name="İzlenen Köprü" xfId="54" builtinId="9" hidden="1"/>
    <cellStyle name="İzlenen Köprü" xfId="55" builtinId="9" hidden="1"/>
    <cellStyle name="İzlenen Köprü" xfId="56" builtinId="9" hidden="1"/>
    <cellStyle name="İzlenen Köprü" xfId="57" builtinId="9" hidden="1"/>
    <cellStyle name="İzlenen Köprü" xfId="58" builtinId="9" hidden="1"/>
    <cellStyle name="İzlenen Köprü" xfId="59" builtinId="9" hidden="1"/>
    <cellStyle name="İzlenen Köprü" xfId="60" builtinId="9" hidden="1"/>
    <cellStyle name="İzlenen Köprü" xfId="61" builtinId="9" hidden="1"/>
    <cellStyle name="İzlenen Köprü" xfId="62" builtinId="9" hidden="1"/>
    <cellStyle name="İzlenen Köprü" xfId="63" builtinId="9" hidden="1"/>
    <cellStyle name="İzlenen Köprü" xfId="64" builtinId="9" hidden="1"/>
    <cellStyle name="İzlenen Köprü" xfId="65" builtinId="9" hidden="1"/>
    <cellStyle name="İzlenen Köprü" xfId="66" builtinId="9" hidden="1"/>
    <cellStyle name="İzlenen Köprü" xfId="67" builtinId="9" hidden="1"/>
    <cellStyle name="İzlenen Köprü" xfId="68" builtinId="9" hidden="1"/>
    <cellStyle name="İzlenen Köprü" xfId="69" builtinId="9" hidden="1"/>
    <cellStyle name="İzlenen Köprü" xfId="70" builtinId="9" hidden="1"/>
    <cellStyle name="İzlenen Köprü" xfId="71" builtinId="9" hidden="1"/>
    <cellStyle name="İzlenen Köprü" xfId="72" builtinId="9" hidden="1"/>
    <cellStyle name="İzlenen Köprü" xfId="73" builtinId="9" hidden="1"/>
    <cellStyle name="İzlenen Köprü" xfId="74" builtinId="9" hidden="1"/>
    <cellStyle name="İzlenen Köprü" xfId="75" builtinId="9" hidden="1"/>
    <cellStyle name="İzlenen Köprü" xfId="76" builtinId="9" hidden="1"/>
    <cellStyle name="İzlenen Köprü" xfId="77" builtinId="9" hidden="1"/>
    <cellStyle name="İzlenen Köprü" xfId="78" builtinId="9" hidden="1"/>
    <cellStyle name="İzlenen Köprü" xfId="79" builtinId="9" hidden="1"/>
    <cellStyle name="İzlenen Köprü" xfId="80" builtinId="9" hidden="1"/>
    <cellStyle name="İzlenen Köprü" xfId="81" builtinId="9" hidden="1"/>
    <cellStyle name="İzlenen Köprü" xfId="82" builtinId="9" hidden="1"/>
    <cellStyle name="İzlenen Köprü" xfId="83" builtinId="9" hidden="1"/>
    <cellStyle name="İzlenen Köprü" xfId="84" builtinId="9" hidden="1"/>
    <cellStyle name="İzlenen Köprü" xfId="85" builtinId="9" hidden="1"/>
    <cellStyle name="İzlenen Köprü" xfId="86" builtinId="9" hidden="1"/>
    <cellStyle name="İzlenen Köprü" xfId="87" builtinId="9" hidden="1"/>
    <cellStyle name="İzlenen Köprü" xfId="88" builtinId="9" hidden="1"/>
    <cellStyle name="İzlenen Köprü" xfId="89" builtinId="9" hidden="1"/>
    <cellStyle name="İzlenen Köprü" xfId="90" builtinId="9" hidden="1"/>
    <cellStyle name="İzlenen Köprü" xfId="91" builtinId="9" hidden="1"/>
    <cellStyle name="İzlenen Köprü" xfId="92" builtinId="9" hidden="1"/>
    <cellStyle name="İzlenen Köprü" xfId="93" builtinId="9" hidden="1"/>
    <cellStyle name="İzlenen Köprü" xfId="94" builtinId="9" hidden="1"/>
    <cellStyle name="İzlenen Köprü" xfId="95" builtinId="9" hidden="1"/>
    <cellStyle name="İzlenen Köprü" xfId="96" builtinId="9" hidden="1"/>
    <cellStyle name="İzlenen Köprü" xfId="97" builtinId="9" hidden="1"/>
    <cellStyle name="İzlenen Köprü" xfId="98" builtinId="9" hidden="1"/>
    <cellStyle name="İzlenen Köprü" xfId="99" builtinId="9" hidden="1"/>
    <cellStyle name="İzlenen Köprü" xfId="100" builtinId="9" hidden="1"/>
    <cellStyle name="İzlenen Köprü" xfId="101" builtinId="9" hidden="1"/>
    <cellStyle name="İzlenen Köprü" xfId="102" builtinId="9" hidden="1"/>
    <cellStyle name="İzlenen Köprü" xfId="103" builtinId="9" hidden="1"/>
    <cellStyle name="İzlenen Köprü" xfId="104" builtinId="9" hidden="1"/>
    <cellStyle name="İzlenen Köprü" xfId="105" builtinId="9" hidden="1"/>
    <cellStyle name="İzlenen Köprü" xfId="106" builtinId="9" hidden="1"/>
    <cellStyle name="İzlenen Köprü" xfId="107" builtinId="9" hidden="1"/>
    <cellStyle name="İzlenen Köprü" xfId="108" builtinId="9" hidden="1"/>
    <cellStyle name="İzlenen Köprü" xfId="109" builtinId="9" hidden="1"/>
    <cellStyle name="İzlenen Köprü" xfId="110" builtinId="9" hidden="1"/>
    <cellStyle name="İzlenen Köprü" xfId="111" builtinId="9" hidden="1"/>
    <cellStyle name="İzlenen Köprü" xfId="112" builtinId="9" hidden="1"/>
    <cellStyle name="İzlenen Köprü" xfId="113" builtinId="9" hidden="1"/>
    <cellStyle name="İzlenen Köprü" xfId="114" builtinId="9" hidden="1"/>
    <cellStyle name="İzlenen Köprü" xfId="115" builtinId="9" hidden="1"/>
    <cellStyle name="İzlenen Köprü" xfId="116" builtinId="9" hidden="1"/>
    <cellStyle name="İzlenen Köprü" xfId="117" builtinId="9" hidden="1"/>
    <cellStyle name="İzlenen Köprü" xfId="118" builtinId="9" hidden="1"/>
    <cellStyle name="İzlenen Köprü" xfId="119" builtinId="9" hidden="1"/>
    <cellStyle name="İzlenen Köprü" xfId="120" builtinId="9" hidden="1"/>
    <cellStyle name="İzlenen Köprü" xfId="121" builtinId="9" hidden="1"/>
    <cellStyle name="İzlenen Köprü" xfId="122" builtinId="9" hidden="1"/>
    <cellStyle name="İzlenen Köprü" xfId="123" builtinId="9" hidden="1"/>
    <cellStyle name="İzlenen Köprü" xfId="124" builtinId="9" hidden="1"/>
    <cellStyle name="İzlenen Köprü" xfId="125" builtinId="9" hidden="1"/>
    <cellStyle name="İzlenen Köprü" xfId="126" builtinId="9" hidden="1"/>
    <cellStyle name="İzlenen Köprü" xfId="127" builtinId="9" hidden="1"/>
    <cellStyle name="İzlenen Köprü" xfId="128" builtinId="9" hidden="1"/>
    <cellStyle name="İzlenen Köprü" xfId="129" builtinId="9" hidden="1"/>
    <cellStyle name="İzlenen Köprü" xfId="130" builtinId="9" hidden="1"/>
    <cellStyle name="İzlenen Köprü" xfId="131" builtinId="9" hidden="1"/>
    <cellStyle name="İzlenen Köprü" xfId="132" builtinId="9" hidden="1"/>
    <cellStyle name="İzlenen Köprü" xfId="133" builtinId="9" hidden="1"/>
    <cellStyle name="İzlenen Köprü" xfId="134" builtinId="9" hidden="1"/>
    <cellStyle name="İzlenen Köprü" xfId="135" builtinId="9" hidden="1"/>
    <cellStyle name="İzlenen Köprü" xfId="136" builtinId="9" hidden="1"/>
    <cellStyle name="İzlenen Köprü" xfId="137" builtinId="9" hidden="1"/>
    <cellStyle name="İzlenen Köprü" xfId="138" builtinId="9" hidden="1"/>
    <cellStyle name="İzlenen Köprü" xfId="139" builtinId="9" hidden="1"/>
    <cellStyle name="İzlenen Köprü" xfId="140" builtinId="9" hidden="1"/>
    <cellStyle name="İzlenen Köprü" xfId="141" builtinId="9" hidden="1"/>
    <cellStyle name="İzlenen Köprü" xfId="142" builtinId="9" hidden="1"/>
    <cellStyle name="İzlenen Köprü" xfId="143" builtinId="9" hidden="1"/>
    <cellStyle name="İzlenen Köprü" xfId="144" builtinId="9" hidden="1"/>
    <cellStyle name="İzlenen Köprü" xfId="145" builtinId="9" hidden="1"/>
    <cellStyle name="İzlenen Köprü" xfId="146" builtinId="9" hidden="1"/>
    <cellStyle name="İzlenen Köprü" xfId="147" builtinId="9" hidden="1"/>
    <cellStyle name="İzlenen Köprü" xfId="148" builtinId="9" hidden="1"/>
    <cellStyle name="İzlenen Köprü" xfId="149" builtinId="9" hidden="1"/>
    <cellStyle name="İzlenen Köprü" xfId="150" builtinId="9" hidden="1"/>
    <cellStyle name="İzlenen Köprü" xfId="151" builtinId="9" hidden="1"/>
    <cellStyle name="İzlenen Köprü" xfId="152" builtinId="9" hidden="1"/>
    <cellStyle name="İzlenen Köprü" xfId="153" builtinId="9" hidden="1"/>
    <cellStyle name="İzlenen Köprü" xfId="154" builtinId="9" hidden="1"/>
    <cellStyle name="İzlenen Köprü" xfId="155" builtinId="9" hidden="1"/>
    <cellStyle name="İzlenen Köprü" xfId="156" builtinId="9" hidden="1"/>
    <cellStyle name="İzlenen Köprü" xfId="157" builtinId="9" hidden="1"/>
    <cellStyle name="İzlenen Köprü" xfId="158" builtinId="9" hidden="1"/>
    <cellStyle name="İzlenen Köprü" xfId="159" builtinId="9" hidden="1"/>
    <cellStyle name="İzlenen Köprü" xfId="160" builtinId="9" hidden="1"/>
    <cellStyle name="İzlenen Köprü" xfId="161" builtinId="9" hidden="1"/>
    <cellStyle name="İzlenen Köprü" xfId="162" builtinId="9" hidden="1"/>
    <cellStyle name="İzlenen Köprü" xfId="163" builtinId="9" hidden="1"/>
    <cellStyle name="İzlenen Köprü" xfId="164" builtinId="9" hidden="1"/>
    <cellStyle name="İzlenen Köprü" xfId="165" builtinId="9" hidden="1"/>
    <cellStyle name="İzlenen Köprü" xfId="166" builtinId="9" hidden="1"/>
    <cellStyle name="İzlenen Köprü" xfId="167" builtinId="9" hidden="1"/>
    <cellStyle name="İzlenen Köprü" xfId="168" builtinId="9" hidden="1"/>
    <cellStyle name="İzlenen Köprü" xfId="169" builtinId="9" hidden="1"/>
    <cellStyle name="İzlenen Köprü" xfId="170" builtinId="9" hidden="1"/>
    <cellStyle name="İzlenen Köprü" xfId="171" builtinId="9" hidden="1"/>
    <cellStyle name="İzlenen Köprü" xfId="172" builtinId="9" hidden="1"/>
    <cellStyle name="İzlenen Köprü" xfId="173" builtinId="9" hidden="1"/>
    <cellStyle name="İzlenen Köprü" xfId="174" builtinId="9" hidden="1"/>
    <cellStyle name="İzlenen Köprü" xfId="175" builtinId="9" hidden="1"/>
    <cellStyle name="İzlenen Köprü" xfId="176" builtinId="9" hidden="1"/>
    <cellStyle name="İzlenen Köprü" xfId="177" builtinId="9" hidden="1"/>
    <cellStyle name="İzlenen Köprü" xfId="178" builtinId="9" hidden="1"/>
    <cellStyle name="İzlenen Köprü" xfId="179" builtinId="9" hidden="1"/>
    <cellStyle name="İzlenen Köprü" xfId="180" builtinId="9" hidden="1"/>
    <cellStyle name="İzlenen Köprü" xfId="181" builtinId="9" hidden="1"/>
    <cellStyle name="İzlenen Köprü" xfId="182" builtinId="9" hidden="1"/>
    <cellStyle name="İzlenen Köprü" xfId="183" builtinId="9" hidden="1"/>
    <cellStyle name="İzlenen Köprü" xfId="184" builtinId="9" hidden="1"/>
    <cellStyle name="İzlenen Köprü" xfId="185" builtinId="9" hidden="1"/>
    <cellStyle name="İzlenen Köprü" xfId="186" builtinId="9" hidden="1"/>
    <cellStyle name="İzlenen Köprü" xfId="187" builtinId="9" hidden="1"/>
    <cellStyle name="İzlenen Köprü" xfId="188" builtinId="9" hidden="1"/>
    <cellStyle name="İzlenen Köprü" xfId="189" builtinId="9" hidden="1"/>
    <cellStyle name="İzlenen Köprü" xfId="190" builtinId="9" hidden="1"/>
    <cellStyle name="İzlenen Köprü" xfId="191" builtinId="9" hidden="1"/>
    <cellStyle name="İzlenen Köprü" xfId="192" builtinId="9" hidden="1"/>
    <cellStyle name="İzlenen Köprü" xfId="193" builtinId="9" hidden="1"/>
    <cellStyle name="İzlenen Köprü" xfId="194" builtinId="9" hidden="1"/>
    <cellStyle name="İzlenen Köprü" xfId="195" builtinId="9" hidden="1"/>
    <cellStyle name="İzlenen Köprü" xfId="196" builtinId="9" hidden="1"/>
    <cellStyle name="İzlenen Köprü" xfId="197" builtinId="9" hidden="1"/>
    <cellStyle name="İzlenen Köprü" xfId="198" builtinId="9" hidden="1"/>
    <cellStyle name="İzlenen Köprü" xfId="199" builtinId="9" hidden="1"/>
    <cellStyle name="İzlenen Köprü" xfId="200" builtinId="9" hidden="1"/>
    <cellStyle name="İzlenen Köprü" xfId="201" builtinId="9" hidden="1"/>
    <cellStyle name="İzlenen Köprü" xfId="202" builtinId="9" hidden="1"/>
    <cellStyle name="İzlenen Köprü" xfId="203" builtinId="9" hidden="1"/>
    <cellStyle name="İzlenen Köprü" xfId="204" builtinId="9" hidden="1"/>
    <cellStyle name="İzlenen Köprü" xfId="205" builtinId="9" hidden="1"/>
    <cellStyle name="İzlenen Köprü" xfId="206" builtinId="9" hidden="1"/>
    <cellStyle name="İzlenen Köprü" xfId="207" builtinId="9" hidden="1"/>
    <cellStyle name="İzlenen Köprü" xfId="208" builtinId="9" hidden="1"/>
    <cellStyle name="İzlenen Köprü" xfId="209" builtinId="9" hidden="1"/>
    <cellStyle name="İzlenen Köprü" xfId="210" builtinId="9" hidden="1"/>
    <cellStyle name="İzlenen Köprü" xfId="211" builtinId="9" hidden="1"/>
    <cellStyle name="İzlenen Köprü" xfId="212" builtinId="9" hidden="1"/>
    <cellStyle name="İzlenen Köprü" xfId="213" builtinId="9" hidden="1"/>
    <cellStyle name="İzlenen Köprü" xfId="214" builtinId="9" hidden="1"/>
    <cellStyle name="İzlenen Köprü" xfId="215" builtinId="9" hidden="1"/>
    <cellStyle name="İzlenen Köprü" xfId="216" builtinId="9" hidden="1"/>
    <cellStyle name="İzlenen Köprü" xfId="217" builtinId="9" hidden="1"/>
    <cellStyle name="İzlenen Köprü" xfId="218" builtinId="9" hidden="1"/>
    <cellStyle name="İzlenen Köprü" xfId="219" builtinId="9" hidden="1"/>
    <cellStyle name="İzlenen Köprü" xfId="220" builtinId="9" hidden="1"/>
    <cellStyle name="İzlenen Köprü" xfId="221" builtinId="9" hidden="1"/>
    <cellStyle name="Köprü" xfId="222" builtinId="8" hidden="1"/>
    <cellStyle name="Köprü" xfId="223" builtinId="8" hidden="1"/>
    <cellStyle name="Köprü" xfId="224" builtinId="8" hidden="1"/>
    <cellStyle name="Köprü" xfId="225" builtinId="8" hidden="1"/>
    <cellStyle name="Köprü" xfId="226" builtinId="8" hidden="1"/>
    <cellStyle name="Köprü" xfId="227" builtinId="8" hidden="1"/>
    <cellStyle name="Köprü" xfId="228" builtinId="8" hidden="1"/>
    <cellStyle name="Köprü" xfId="229" builtinId="8" hidden="1"/>
    <cellStyle name="Köprü" xfId="230" builtinId="8" hidden="1"/>
    <cellStyle name="Köprü" xfId="231" builtinId="8" hidden="1"/>
    <cellStyle name="Köprü" xfId="232" builtinId="8" hidden="1"/>
    <cellStyle name="Köprü" xfId="233" builtinId="8" hidden="1"/>
    <cellStyle name="Köprü" xfId="234" builtinId="8" hidden="1"/>
    <cellStyle name="Köprü" xfId="235" builtinId="8" hidden="1"/>
    <cellStyle name="Köprü" xfId="236" builtinId="8" hidden="1"/>
    <cellStyle name="Köprü" xfId="237" builtinId="8" hidden="1"/>
    <cellStyle name="Köprü" xfId="238" builtinId="8" hidden="1"/>
    <cellStyle name="Köprü" xfId="239" builtinId="8" hidden="1"/>
    <cellStyle name="Köprü" xfId="240" builtinId="8" hidden="1"/>
    <cellStyle name="Köprü" xfId="241" builtinId="8" hidden="1"/>
    <cellStyle name="Köprü" xfId="242" builtinId="8" hidden="1"/>
    <cellStyle name="Köprü" xfId="243" builtinId="8" hidden="1"/>
    <cellStyle name="Köprü" xfId="244" builtinId="8" hidden="1"/>
    <cellStyle name="Köprü" xfId="245" builtinId="8" hidden="1"/>
    <cellStyle name="Köprü" xfId="246" builtinId="8" hidden="1"/>
    <cellStyle name="Köprü" xfId="247" builtinId="8" hidden="1"/>
    <cellStyle name="Köprü" xfId="248" builtinId="8" hidden="1"/>
    <cellStyle name="Köprü" xfId="249" builtinId="8" hidden="1"/>
    <cellStyle name="Köprü" xfId="250" builtinId="8" hidden="1"/>
    <cellStyle name="Köprü" xfId="251" builtinId="8" hidden="1"/>
    <cellStyle name="Köprü" xfId="252" builtinId="8" hidden="1"/>
    <cellStyle name="Köprü" xfId="253" builtinId="8" hidden="1"/>
    <cellStyle name="Köprü" xfId="254" builtinId="8" hidden="1"/>
    <cellStyle name="Köprü" xfId="255" builtinId="8" hidden="1"/>
    <cellStyle name="Köprü" xfId="256" builtinId="8" hidden="1"/>
    <cellStyle name="Köprü" xfId="257" builtinId="8" hidden="1"/>
    <cellStyle name="Köprü" xfId="258" builtinId="8" hidden="1"/>
    <cellStyle name="Köprü" xfId="259" builtinId="8" hidden="1"/>
    <cellStyle name="Köprü" xfId="260" builtinId="8" hidden="1"/>
    <cellStyle name="Köprü" xfId="261" builtinId="8" hidden="1"/>
    <cellStyle name="Köprü" xfId="262" builtinId="8" hidden="1"/>
    <cellStyle name="Köprü" xfId="263" builtinId="8" hidden="1"/>
    <cellStyle name="Köprü" xfId="264" builtinId="8" hidden="1"/>
    <cellStyle name="Köprü" xfId="265" builtinId="8" hidden="1"/>
    <cellStyle name="Köprü" xfId="266" builtinId="8" hidden="1"/>
    <cellStyle name="Köprü" xfId="267" builtinId="8" hidden="1"/>
    <cellStyle name="Köprü" xfId="268" builtinId="8" hidden="1"/>
    <cellStyle name="Köprü" xfId="269" builtinId="8" hidden="1"/>
    <cellStyle name="Köprü" xfId="270" builtinId="8" hidden="1"/>
    <cellStyle name="Köprü" xfId="271" builtinId="8" hidden="1"/>
    <cellStyle name="Köprü" xfId="272" builtinId="8" hidden="1"/>
    <cellStyle name="Köprü" xfId="273" builtinId="8" hidden="1"/>
    <cellStyle name="Köprü" xfId="274" builtinId="8" hidden="1"/>
    <cellStyle name="Köprü" xfId="275" builtinId="8" hidden="1"/>
    <cellStyle name="Köprü" xfId="276" builtinId="8" hidden="1"/>
    <cellStyle name="Köprü" xfId="277" builtinId="8" hidden="1"/>
    <cellStyle name="Köprü" xfId="278" builtinId="8" hidden="1"/>
    <cellStyle name="Köprü" xfId="279" builtinId="8" hidden="1"/>
    <cellStyle name="Köprü" xfId="280" builtinId="8" hidden="1"/>
    <cellStyle name="Köprü" xfId="281" builtinId="8" hidden="1"/>
    <cellStyle name="Köprü" xfId="282" builtinId="8" hidden="1"/>
    <cellStyle name="Köprü" xfId="283" builtinId="8" hidden="1"/>
    <cellStyle name="Köprü" xfId="284" builtinId="8" hidden="1"/>
    <cellStyle name="Köprü" xfId="285" builtinId="8" hidden="1"/>
    <cellStyle name="Köprü" xfId="286" builtinId="8" hidden="1"/>
    <cellStyle name="Köprü" xfId="287" builtinId="8" hidden="1"/>
    <cellStyle name="Köprü" xfId="288" builtinId="8" hidden="1"/>
    <cellStyle name="Köprü" xfId="289" builtinId="8" hidden="1"/>
    <cellStyle name="Köprü" xfId="290" builtinId="8" hidden="1"/>
    <cellStyle name="Köprü" xfId="291" builtinId="8" hidden="1"/>
    <cellStyle name="Köprü" xfId="292" builtinId="8" hidden="1"/>
    <cellStyle name="Köprü" xfId="293" builtinId="8" hidden="1"/>
    <cellStyle name="Köprü" xfId="294" builtinId="8" hidden="1"/>
    <cellStyle name="Köprü" xfId="295" builtinId="8" hidden="1"/>
    <cellStyle name="Köprü" xfId="296" builtinId="8" hidden="1"/>
    <cellStyle name="Köprü" xfId="297" builtinId="8" hidden="1"/>
    <cellStyle name="Köprü" xfId="298" builtinId="8" hidden="1"/>
    <cellStyle name="Köprü" xfId="299" builtinId="8" hidden="1"/>
    <cellStyle name="Köprü" xfId="300" builtinId="8" hidden="1"/>
    <cellStyle name="Köprü" xfId="301" builtinId="8" hidden="1"/>
    <cellStyle name="Köprü" xfId="302" builtinId="8" hidden="1"/>
    <cellStyle name="Köprü" xfId="303" builtinId="8" hidden="1"/>
    <cellStyle name="Köprü" xfId="304" builtinId="8" hidden="1"/>
    <cellStyle name="Köprü" xfId="305" builtinId="8" hidden="1"/>
    <cellStyle name="Köprü" xfId="306" builtinId="8" hidden="1"/>
    <cellStyle name="Köprü" xfId="307" builtinId="8" hidden="1"/>
    <cellStyle name="Köprü" xfId="308" builtinId="8" hidden="1"/>
    <cellStyle name="Köprü" xfId="309" builtinId="8" hidden="1"/>
    <cellStyle name="Köprü" xfId="310" builtinId="8" hidden="1"/>
    <cellStyle name="Köprü" xfId="311" builtinId="8" hidden="1"/>
    <cellStyle name="Köprü" xfId="312" builtinId="8" hidden="1"/>
    <cellStyle name="Köprü" xfId="313" builtinId="8" hidden="1"/>
    <cellStyle name="Köprü" xfId="314" builtinId="8" hidden="1"/>
    <cellStyle name="Köprü" xfId="315" builtinId="8" hidden="1"/>
    <cellStyle name="Köprü" xfId="316" builtinId="8" hidden="1"/>
    <cellStyle name="Köprü" xfId="317" builtinId="8" hidden="1"/>
    <cellStyle name="Köprü" xfId="318" builtinId="8" hidden="1"/>
    <cellStyle name="Köprü" xfId="319" builtinId="8" hidden="1"/>
    <cellStyle name="Köprü" xfId="320" builtinId="8" hidden="1"/>
    <cellStyle name="Köprü" xfId="321" builtinId="8" hidden="1"/>
    <cellStyle name="Köprü" xfId="322" builtinId="8" hidden="1"/>
    <cellStyle name="Köprü" xfId="323" builtinId="8" hidden="1"/>
    <cellStyle name="Köprü" xfId="324" builtinId="8" hidden="1"/>
    <cellStyle name="Köprü" xfId="325" builtinId="8" hidden="1"/>
    <cellStyle name="Köprü" xfId="326" builtinId="8" hidden="1"/>
    <cellStyle name="Köprü" xfId="327" builtinId="8" hidden="1"/>
    <cellStyle name="Köprü" xfId="328" builtinId="8" hidden="1"/>
    <cellStyle name="Köprü" xfId="329" builtinId="8" hidden="1"/>
    <cellStyle name="Köprü" xfId="330" builtinId="8" hidden="1"/>
    <cellStyle name="Köprü" xfId="331" builtinId="8" hidden="1"/>
    <cellStyle name="Köprü" xfId="332" builtinId="8" hidden="1"/>
    <cellStyle name="Köprü" xfId="333" builtinId="8" hidden="1"/>
    <cellStyle name="Köprü" xfId="334" builtinId="8" hidden="1"/>
    <cellStyle name="Köprü" xfId="335" builtinId="8" hidden="1"/>
    <cellStyle name="Köprü" xfId="336" builtinId="8" hidden="1"/>
    <cellStyle name="Köprü" xfId="337" builtinId="8" hidden="1"/>
    <cellStyle name="Köprü" xfId="338" builtinId="8" hidden="1"/>
    <cellStyle name="Köprü" xfId="339" builtinId="8" hidden="1"/>
    <cellStyle name="Köprü" xfId="340" builtinId="8" hidden="1"/>
    <cellStyle name="Köprü" xfId="341" builtinId="8" hidden="1"/>
    <cellStyle name="Köprü" xfId="342" builtinId="8" hidden="1"/>
    <cellStyle name="Köprü" xfId="343" builtinId="8" hidden="1"/>
    <cellStyle name="Köprü" xfId="344" builtinId="8" hidden="1"/>
    <cellStyle name="Köprü" xfId="345" builtinId="8" hidden="1"/>
    <cellStyle name="Köprü" xfId="346" builtinId="8" hidden="1"/>
    <cellStyle name="Köprü" xfId="347" builtinId="8" hidden="1"/>
    <cellStyle name="Köprü" xfId="348" builtinId="8" hidden="1"/>
    <cellStyle name="Köprü" xfId="349" builtinId="8" hidden="1"/>
    <cellStyle name="Köprü" xfId="350" builtinId="8" hidden="1"/>
    <cellStyle name="Köprü" xfId="351" builtinId="8" hidden="1"/>
    <cellStyle name="Köprü" xfId="352" builtinId="8" hidden="1"/>
    <cellStyle name="Köprü" xfId="353" builtinId="8" hidden="1"/>
    <cellStyle name="Köprü" xfId="354" builtinId="8" hidden="1"/>
    <cellStyle name="Köprü" xfId="355" builtinId="8" hidden="1"/>
    <cellStyle name="Köprü" xfId="356" builtinId="8" hidden="1"/>
    <cellStyle name="Köprü" xfId="357" builtinId="8" hidden="1"/>
    <cellStyle name="Köprü" xfId="358" builtinId="8" hidden="1"/>
    <cellStyle name="Köprü" xfId="359" builtinId="8" hidden="1"/>
    <cellStyle name="Köprü" xfId="360" builtinId="8" hidden="1"/>
    <cellStyle name="Köprü" xfId="361" builtinId="8" hidden="1"/>
    <cellStyle name="Köprü" xfId="362" builtinId="8" hidden="1"/>
    <cellStyle name="Köprü" xfId="363" builtinId="8" hidden="1"/>
    <cellStyle name="Köprü" xfId="364" builtinId="8" hidden="1"/>
    <cellStyle name="Köprü" xfId="365" builtinId="8" hidden="1"/>
    <cellStyle name="Köprü" xfId="366" builtinId="8" hidden="1"/>
    <cellStyle name="Köprü" xfId="367" builtinId="8" hidden="1"/>
    <cellStyle name="Köprü" xfId="368" builtinId="8" hidden="1"/>
    <cellStyle name="Köprü" xfId="369" builtinId="8" hidden="1"/>
    <cellStyle name="Köprü" xfId="370" builtinId="8" hidden="1"/>
    <cellStyle name="Köprü" xfId="371" builtinId="8" hidden="1"/>
    <cellStyle name="Köprü" xfId="372" builtinId="8" hidden="1"/>
    <cellStyle name="Köprü" xfId="373" builtinId="8" hidden="1"/>
    <cellStyle name="Köprü" xfId="374" builtinId="8" hidden="1"/>
    <cellStyle name="Köprü" xfId="375" builtinId="8" hidden="1"/>
    <cellStyle name="Köprü" xfId="376" builtinId="8" hidden="1"/>
    <cellStyle name="Köprü" xfId="377" builtinId="8" hidden="1"/>
    <cellStyle name="Köprü" xfId="378" builtinId="8" hidden="1"/>
    <cellStyle name="Köprü" xfId="379" builtinId="8" hidden="1"/>
    <cellStyle name="Köprü" xfId="380" builtinId="8" hidden="1"/>
    <cellStyle name="Köprü" xfId="381" builtinId="8" hidden="1"/>
    <cellStyle name="Köprü" xfId="382" builtinId="8" hidden="1"/>
    <cellStyle name="Köprü" xfId="383" builtinId="8" hidden="1"/>
    <cellStyle name="Köprü" xfId="384" builtinId="8" hidden="1"/>
    <cellStyle name="Köprü" xfId="385" builtinId="8" hidden="1"/>
    <cellStyle name="Köprü" xfId="386" builtinId="8" hidden="1"/>
    <cellStyle name="Köprü" xfId="387" builtinId="8" hidden="1"/>
    <cellStyle name="Köprü" xfId="388" builtinId="8" hidden="1"/>
    <cellStyle name="Köprü" xfId="389" builtinId="8" hidden="1"/>
    <cellStyle name="Köprü" xfId="390" builtinId="8" hidden="1"/>
    <cellStyle name="Köprü" xfId="391" builtinId="8" hidden="1"/>
    <cellStyle name="Köprü" xfId="392" builtinId="8" hidden="1"/>
    <cellStyle name="Köprü" xfId="393" builtinId="8" hidden="1"/>
    <cellStyle name="Köprü" xfId="394" builtinId="8" hidden="1"/>
    <cellStyle name="Köprü" xfId="395" builtinId="8" hidden="1"/>
    <cellStyle name="Köprü" xfId="396" builtinId="8" hidden="1"/>
    <cellStyle name="Köprü" xfId="397" builtinId="8" hidden="1"/>
    <cellStyle name="Köprü" xfId="398" builtinId="8" hidden="1"/>
    <cellStyle name="Köprü" xfId="399" builtinId="8" hidden="1"/>
    <cellStyle name="Köprü" xfId="400" builtinId="8" hidden="1"/>
    <cellStyle name="Köprü" xfId="401" builtinId="8" hidden="1"/>
    <cellStyle name="Köprü" xfId="402" builtinId="8" hidden="1"/>
    <cellStyle name="Köprü" xfId="403" builtinId="8" hidden="1"/>
    <cellStyle name="Köprü" xfId="404" builtinId="8" hidden="1"/>
    <cellStyle name="Köprü" xfId="405" builtinId="8" hidden="1"/>
    <cellStyle name="Köprü" xfId="406" builtinId="8" hidden="1"/>
    <cellStyle name="Köprü" xfId="407" builtinId="8" hidden="1"/>
    <cellStyle name="Köprü" xfId="408" builtinId="8" hidden="1"/>
    <cellStyle name="Köprü" xfId="409" builtinId="8" hidden="1"/>
    <cellStyle name="Köprü" xfId="410" builtinId="8" hidden="1"/>
    <cellStyle name="Köprü" xfId="411" builtinId="8" hidden="1"/>
    <cellStyle name="Köprü" xfId="412" builtinId="8" hidden="1"/>
    <cellStyle name="Köprü" xfId="413" builtinId="8" hidden="1"/>
    <cellStyle name="Köprü" xfId="414" builtinId="8" hidden="1"/>
    <cellStyle name="Köprü" xfId="415" builtinId="8" hidden="1"/>
    <cellStyle name="Köprü" xfId="416" builtinId="8" hidden="1"/>
    <cellStyle name="Köprü" xfId="417" builtinId="8" hidden="1"/>
    <cellStyle name="Köprü" xfId="418" builtinId="8" hidden="1"/>
    <cellStyle name="Köprü" xfId="419" builtinId="8" hidden="1"/>
    <cellStyle name="Köprü" xfId="420" builtinId="8" hidden="1"/>
    <cellStyle name="Köprü" xfId="421" builtinId="8" hidden="1"/>
    <cellStyle name="Köprü" xfId="422" builtinId="8" hidden="1"/>
    <cellStyle name="Köprü" xfId="423" builtinId="8" hidden="1"/>
    <cellStyle name="Köprü" xfId="424" builtinId="8" hidden="1"/>
    <cellStyle name="Köprü" xfId="425" builtinId="8" hidden="1"/>
    <cellStyle name="Köprü" xfId="426" builtinId="8" hidden="1"/>
    <cellStyle name="Köprü" xfId="427" builtinId="8" hidden="1"/>
    <cellStyle name="Köprü" xfId="428" builtinId="8" hidden="1"/>
    <cellStyle name="Köprü" xfId="429" builtinId="8" hidden="1"/>
    <cellStyle name="Köprü" xfId="430" builtinId="8" hidden="1"/>
    <cellStyle name="Köprü" xfId="431" builtinId="8" hidden="1"/>
    <cellStyle name="Köprü" xfId="432" builtinId="8" hidden="1"/>
    <cellStyle name="Köprü" xfId="433" builtinId="8" hidden="1"/>
    <cellStyle name="Köprü" xfId="434" builtinId="8" hidden="1"/>
    <cellStyle name="Köprü" xfId="435" builtinId="8" hidden="1"/>
    <cellStyle name="Köprü" xfId="436" builtinId="8" hidden="1"/>
    <cellStyle name="Kötü" xfId="437" builtinId="27"/>
    <cellStyle name="Normal" xfId="0" builtinId="0"/>
    <cellStyle name="Normal 2" xfId="2" xr:uid="{00000000-0005-0000-0000-0000AF010000}"/>
    <cellStyle name="Normal 2 2" xfId="3" xr:uid="{00000000-0005-0000-0000-0000B0010000}"/>
    <cellStyle name="Normal 2 2 2" xfId="4" xr:uid="{00000000-0005-0000-0000-0000B1010000}"/>
    <cellStyle name="Normal 2 2 3" xfId="5" xr:uid="{00000000-0005-0000-0000-0000B2010000}"/>
    <cellStyle name="Normal 3" xfId="6" xr:uid="{00000000-0005-0000-0000-0000B3010000}"/>
    <cellStyle name="Virgül" xfId="1" builtinId="3"/>
  </cellStyles>
  <dxfs count="12">
    <dxf>
      <numFmt numFmtId="172" formatCode="#,##0.00\ &quot;TL&quot;"/>
    </dxf>
    <dxf>
      <numFmt numFmtId="173" formatCode="#,##0.00\ [$USD-FFFFFC1F]"/>
    </dxf>
    <dxf>
      <numFmt numFmtId="174" formatCode="#,##0.00\ [$EUR-FFFFFC1F]"/>
    </dxf>
    <dxf>
      <numFmt numFmtId="172" formatCode="#,##0.00\ &quot;TL&quot;"/>
    </dxf>
    <dxf>
      <numFmt numFmtId="173" formatCode="#,##0.00\ [$USD-FFFFFC1F]"/>
    </dxf>
    <dxf>
      <numFmt numFmtId="174" formatCode="#,##0.00\ [$EUR-FFFFFC1F]"/>
    </dxf>
    <dxf>
      <numFmt numFmtId="172" formatCode="#,##0.00\ &quot;TL&quot;"/>
    </dxf>
    <dxf>
      <numFmt numFmtId="173" formatCode="#,##0.00\ [$USD-FFFFFC1F]"/>
    </dxf>
    <dxf>
      <numFmt numFmtId="174" formatCode="#,##0.00\ [$EUR-FFFFFC1F]"/>
    </dxf>
    <dxf>
      <numFmt numFmtId="172" formatCode="#,##0.00\ &quot;TL&quot;"/>
    </dxf>
    <dxf>
      <numFmt numFmtId="173" formatCode="#,##0.00\ [$USD-FFFFFC1F]"/>
    </dxf>
    <dxf>
      <numFmt numFmtId="174" formatCode="#,##0.00\ [$EUR-FFFFFC1F]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120650</xdr:colOff>
      <xdr:row>1</xdr:row>
      <xdr:rowOff>150495</xdr:rowOff>
    </xdr:from>
    <xdr:to>
      <xdr:col>21</xdr:col>
      <xdr:colOff>794385</xdr:colOff>
      <xdr:row>4</xdr:row>
      <xdr:rowOff>6985</xdr:rowOff>
    </xdr:to>
    <xdr:pic>
      <xdr:nvPicPr>
        <xdr:cNvPr id="9" name="11 Resim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11017061" y="7418293"/>
          <a:ext cx="1464607" cy="427735"/>
        </a:xfrm>
        <a:prstGeom prst="rect">
          <a:avLst/>
        </a:prstGeom>
        <a:noFill/>
        <a:ln w="9525">
          <a:noFill/>
          <a:round/>
        </a:ln>
      </xdr:spPr>
    </xdr:pic>
    <xdr:clientData/>
  </xdr:twoCellAnchor>
  <xdr:twoCellAnchor>
    <xdr:from>
      <xdr:col>1</xdr:col>
      <xdr:colOff>635</xdr:colOff>
      <xdr:row>1</xdr:row>
      <xdr:rowOff>93980</xdr:rowOff>
    </xdr:from>
    <xdr:to>
      <xdr:col>1</xdr:col>
      <xdr:colOff>1047750</xdr:colOff>
      <xdr:row>3</xdr:row>
      <xdr:rowOff>161925</xdr:rowOff>
    </xdr:to>
    <xdr:pic>
      <xdr:nvPicPr>
        <xdr:cNvPr id="10" name="Picture 4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 bwMode="auto">
        <a:xfrm>
          <a:off x="324410" y="7361703"/>
          <a:ext cx="1047189" cy="448795"/>
        </a:xfrm>
        <a:prstGeom prst="rect">
          <a:avLst/>
        </a:prstGeom>
        <a:noFill/>
        <a:ln w="9525">
          <a:noFill/>
          <a:rou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120650</xdr:colOff>
      <xdr:row>1</xdr:row>
      <xdr:rowOff>150495</xdr:rowOff>
    </xdr:from>
    <xdr:to>
      <xdr:col>21</xdr:col>
      <xdr:colOff>794385</xdr:colOff>
      <xdr:row>4</xdr:row>
      <xdr:rowOff>6985</xdr:rowOff>
    </xdr:to>
    <xdr:pic>
      <xdr:nvPicPr>
        <xdr:cNvPr id="2" name="11 Resim">
          <a:extLst>
            <a:ext uri="{FF2B5EF4-FFF2-40B4-BE49-F238E27FC236}">
              <a16:creationId xmlns:a16="http://schemas.microsoft.com/office/drawing/2014/main" id="{17278E5B-429B-4284-AAEE-AFDBD6214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8864600" y="340995"/>
          <a:ext cx="1540510" cy="427990"/>
        </a:xfrm>
        <a:prstGeom prst="rect">
          <a:avLst/>
        </a:prstGeom>
        <a:noFill/>
        <a:ln w="9525">
          <a:noFill/>
          <a:round/>
        </a:ln>
      </xdr:spPr>
    </xdr:pic>
    <xdr:clientData/>
  </xdr:twoCellAnchor>
  <xdr:twoCellAnchor>
    <xdr:from>
      <xdr:col>1</xdr:col>
      <xdr:colOff>635</xdr:colOff>
      <xdr:row>1</xdr:row>
      <xdr:rowOff>93980</xdr:rowOff>
    </xdr:from>
    <xdr:to>
      <xdr:col>1</xdr:col>
      <xdr:colOff>1047750</xdr:colOff>
      <xdr:row>3</xdr:row>
      <xdr:rowOff>161925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84605371-1662-47A6-8999-E0E93531F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 bwMode="auto">
        <a:xfrm>
          <a:off x="324485" y="284480"/>
          <a:ext cx="1047115" cy="448945"/>
        </a:xfrm>
        <a:prstGeom prst="rect">
          <a:avLst/>
        </a:prstGeom>
        <a:noFill/>
        <a:ln w="9525">
          <a:noFill/>
          <a:rou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  <a:tileRect/>
        </a:gradFill>
      </a:fillStyleLst>
      <a:lnStyleLst>
        <a:ln w="9525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mpd="sng" algn="ctr">
          <a:solidFill>
            <a:schemeClr val="phClr"/>
          </a:solidFill>
          <a:prstDash val="solid"/>
        </a:ln>
        <a:ln w="38100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  <a:tileRect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J221"/>
  <sheetViews>
    <sheetView tabSelected="1" topLeftCell="A186" zoomScale="85" zoomScaleNormal="85" zoomScalePageLayoutView="85" workbookViewId="0">
      <selection activeCell="AJ213" sqref="AJ213"/>
    </sheetView>
  </sheetViews>
  <sheetFormatPr defaultColWidth="8.7109375" defaultRowHeight="15" x14ac:dyDescent="0.25"/>
  <cols>
    <col min="1" max="1" width="4.85546875" style="4" customWidth="1"/>
    <col min="2" max="2" width="56.140625" style="5" customWidth="1"/>
    <col min="3" max="3" width="15" style="5" customWidth="1"/>
    <col min="4" max="4" width="25" style="5" customWidth="1"/>
    <col min="5" max="5" width="23.42578125" style="5" customWidth="1"/>
    <col min="6" max="6" width="9.140625" style="5" hidden="1" customWidth="1"/>
    <col min="7" max="7" width="8.7109375" style="5" hidden="1" customWidth="1"/>
    <col min="8" max="8" width="12.5703125" style="5" hidden="1" customWidth="1"/>
    <col min="9" max="9" width="15.85546875" style="5" hidden="1" customWidth="1"/>
    <col min="10" max="10" width="6.7109375" style="6" customWidth="1"/>
    <col min="11" max="11" width="8.7109375" style="5" hidden="1" customWidth="1"/>
    <col min="12" max="12" width="2.28515625" style="5" hidden="1" customWidth="1"/>
    <col min="13" max="13" width="7.5703125" style="5" hidden="1" customWidth="1"/>
    <col min="14" max="14" width="1.42578125" style="5" hidden="1" customWidth="1"/>
    <col min="15" max="15" width="5.5703125" style="5" hidden="1" customWidth="1"/>
    <col min="16" max="16" width="6.85546875" style="5" hidden="1" customWidth="1"/>
    <col min="17" max="17" width="6" style="5" hidden="1" customWidth="1"/>
    <col min="18" max="18" width="5.85546875" style="5" hidden="1" customWidth="1"/>
    <col min="19" max="19" width="7.28515625" style="5" hidden="1" customWidth="1"/>
    <col min="20" max="20" width="6.140625" style="5" hidden="1" customWidth="1"/>
    <col min="21" max="21" width="13" style="7" customWidth="1"/>
    <col min="22" max="22" width="14.140625" style="7" bestFit="1" customWidth="1"/>
    <col min="23" max="23" width="12.5703125" style="8" hidden="1" customWidth="1"/>
    <col min="24" max="24" width="12.5703125" style="9" hidden="1" customWidth="1"/>
    <col min="25" max="25" width="14.140625" style="10" hidden="1" customWidth="1"/>
    <col min="26" max="26" width="12.5703125" style="8" hidden="1" customWidth="1"/>
    <col min="27" max="28" width="12.5703125" style="10" hidden="1" customWidth="1"/>
    <col min="29" max="29" width="16" style="10" hidden="1" customWidth="1"/>
    <col min="30" max="30" width="13.85546875" style="11" hidden="1" customWidth="1"/>
    <col min="31" max="32" width="0" style="8" hidden="1" customWidth="1"/>
    <col min="33" max="33" width="0" style="12" hidden="1" customWidth="1"/>
    <col min="34" max="34" width="0" style="13" hidden="1" customWidth="1"/>
    <col min="35" max="35" width="8.7109375" style="13"/>
    <col min="36" max="36" width="13.42578125" style="13" bestFit="1" customWidth="1"/>
    <col min="37" max="16384" width="8.7109375" style="13"/>
  </cols>
  <sheetData>
    <row r="1" spans="1:33" s="1" customFormat="1" x14ac:dyDescent="0.25">
      <c r="A1" s="165" t="s">
        <v>0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7"/>
      <c r="V1" s="168"/>
      <c r="W1" s="14"/>
      <c r="X1" s="36"/>
      <c r="Y1" s="26"/>
      <c r="Z1" s="26"/>
      <c r="AA1" s="35"/>
      <c r="AB1" s="15"/>
      <c r="AC1" s="15"/>
      <c r="AD1" s="16"/>
      <c r="AE1" s="14"/>
      <c r="AF1" s="14"/>
      <c r="AG1" s="17"/>
    </row>
    <row r="2" spans="1:33" s="1" customFormat="1" x14ac:dyDescent="0.25">
      <c r="A2" s="169"/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1"/>
      <c r="V2" s="172"/>
      <c r="W2" s="14"/>
      <c r="X2" s="36"/>
      <c r="Y2" s="26"/>
      <c r="Z2" s="26"/>
      <c r="AA2" s="35"/>
      <c r="AB2" s="15"/>
      <c r="AC2" s="15"/>
      <c r="AD2" s="16"/>
      <c r="AE2" s="14"/>
      <c r="AF2" s="14"/>
      <c r="AG2" s="17"/>
    </row>
    <row r="3" spans="1:33" s="1" customFormat="1" x14ac:dyDescent="0.25">
      <c r="A3" s="169"/>
      <c r="B3" s="170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  <c r="U3" s="171"/>
      <c r="V3" s="172"/>
      <c r="W3" s="14"/>
      <c r="X3" s="36"/>
      <c r="Y3" s="37"/>
      <c r="Z3" s="37"/>
      <c r="AA3" s="35"/>
      <c r="AB3" s="38"/>
      <c r="AC3" s="38"/>
      <c r="AD3" s="33"/>
      <c r="AE3" s="32"/>
      <c r="AF3" s="14"/>
      <c r="AG3" s="17"/>
    </row>
    <row r="4" spans="1:33" s="1" customFormat="1" x14ac:dyDescent="0.25">
      <c r="A4" s="169"/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1"/>
      <c r="V4" s="172"/>
      <c r="W4" s="14"/>
      <c r="X4" s="36"/>
      <c r="Y4" s="39"/>
      <c r="Z4" s="37"/>
      <c r="AA4" s="35"/>
      <c r="AB4" s="40"/>
      <c r="AC4" s="40"/>
      <c r="AD4" s="33"/>
      <c r="AE4" s="32"/>
      <c r="AF4" s="14"/>
      <c r="AG4" s="17"/>
    </row>
    <row r="5" spans="1:33" s="1" customFormat="1" x14ac:dyDescent="0.25">
      <c r="A5" s="18"/>
      <c r="B5" s="20"/>
      <c r="C5" s="21"/>
      <c r="D5" s="21"/>
      <c r="E5" s="22"/>
      <c r="F5" s="22"/>
      <c r="G5" s="22"/>
      <c r="H5" s="22"/>
      <c r="I5" s="22"/>
      <c r="J5" s="23"/>
      <c r="K5" s="19"/>
      <c r="L5" s="19"/>
      <c r="M5" s="19"/>
      <c r="N5" s="19"/>
      <c r="O5" s="19"/>
      <c r="P5" s="19"/>
      <c r="Q5" s="19"/>
      <c r="R5" s="19"/>
      <c r="S5" s="19"/>
      <c r="T5" s="19"/>
      <c r="U5" s="7"/>
      <c r="V5" s="25"/>
      <c r="W5" s="14"/>
      <c r="X5" s="36"/>
      <c r="Y5" s="26"/>
      <c r="Z5" s="26"/>
      <c r="AA5" s="35"/>
      <c r="AB5" s="15"/>
      <c r="AC5" s="15"/>
      <c r="AD5" s="16"/>
      <c r="AE5" s="14"/>
      <c r="AF5" s="14"/>
      <c r="AG5" s="17"/>
    </row>
    <row r="6" spans="1:33" s="1" customFormat="1" x14ac:dyDescent="0.25">
      <c r="A6" s="18" t="s">
        <v>1</v>
      </c>
      <c r="B6" s="20"/>
      <c r="C6" s="27"/>
      <c r="D6" s="27"/>
      <c r="E6" s="22"/>
      <c r="F6" s="22"/>
      <c r="G6" s="22"/>
      <c r="H6" s="22"/>
      <c r="I6" s="28"/>
      <c r="J6" s="6"/>
      <c r="K6" s="5"/>
      <c r="L6" s="5"/>
      <c r="M6" s="5"/>
      <c r="N6" s="5"/>
      <c r="O6" s="5"/>
      <c r="P6" s="5"/>
      <c r="Q6" s="5"/>
      <c r="R6" s="5"/>
      <c r="S6" s="5"/>
      <c r="T6" s="5"/>
      <c r="U6" s="24" t="s">
        <v>2</v>
      </c>
      <c r="V6" s="25"/>
      <c r="W6" s="14"/>
      <c r="X6" s="41"/>
      <c r="Y6" s="26"/>
      <c r="Z6" s="26"/>
      <c r="AA6" s="35"/>
      <c r="AB6" s="15"/>
      <c r="AC6" s="15"/>
      <c r="AD6" s="16"/>
      <c r="AE6" s="14"/>
      <c r="AF6" s="14"/>
      <c r="AG6" s="17"/>
    </row>
    <row r="7" spans="1:33" s="1" customFormat="1" x14ac:dyDescent="0.25">
      <c r="A7" s="18" t="s">
        <v>4</v>
      </c>
      <c r="B7" s="20"/>
      <c r="C7" s="30"/>
      <c r="D7" s="30"/>
      <c r="E7" s="31"/>
      <c r="F7" s="31"/>
      <c r="G7" s="31"/>
      <c r="H7" s="31"/>
      <c r="I7" s="28"/>
      <c r="J7" s="23"/>
      <c r="K7" s="42"/>
      <c r="L7" s="42"/>
      <c r="M7" s="42"/>
      <c r="N7" s="42"/>
      <c r="O7" s="42"/>
      <c r="P7" s="42"/>
      <c r="Q7" s="42"/>
      <c r="R7" s="42"/>
      <c r="S7" s="42"/>
      <c r="T7" s="42"/>
      <c r="U7" s="24" t="s">
        <v>3</v>
      </c>
      <c r="V7" s="29"/>
      <c r="W7" s="14"/>
      <c r="X7" s="36"/>
      <c r="Y7" s="26"/>
      <c r="Z7" s="26"/>
      <c r="AA7" s="35"/>
      <c r="AB7" s="15"/>
      <c r="AC7" s="15"/>
      <c r="AD7" s="16"/>
      <c r="AE7" s="14"/>
      <c r="AF7" s="14"/>
      <c r="AG7" s="17"/>
    </row>
    <row r="8" spans="1:33" s="1" customFormat="1" x14ac:dyDescent="0.25">
      <c r="A8" s="18"/>
      <c r="B8" s="20"/>
      <c r="C8" s="30"/>
      <c r="D8" s="30"/>
      <c r="E8" s="31"/>
      <c r="F8" s="31"/>
      <c r="G8" s="31"/>
      <c r="H8" s="31"/>
      <c r="I8" s="28"/>
      <c r="J8" s="23"/>
      <c r="K8" s="42"/>
      <c r="L8" s="42"/>
      <c r="M8" s="42"/>
      <c r="N8" s="42"/>
      <c r="O8" s="42"/>
      <c r="P8" s="42"/>
      <c r="Q8" s="42"/>
      <c r="R8" s="42"/>
      <c r="S8" s="42"/>
      <c r="T8" s="42"/>
      <c r="U8" s="24"/>
      <c r="V8" s="29"/>
      <c r="W8" s="14"/>
      <c r="X8" s="36"/>
      <c r="Y8" s="26"/>
      <c r="Z8" s="26"/>
      <c r="AA8" s="35"/>
      <c r="AB8" s="15"/>
      <c r="AC8" s="15"/>
      <c r="AD8" s="16"/>
      <c r="AE8" s="14"/>
      <c r="AF8" s="14"/>
      <c r="AG8" s="17"/>
    </row>
    <row r="9" spans="1:33" s="2" customFormat="1" ht="15.75" thickBot="1" x14ac:dyDescent="0.3">
      <c r="A9" s="43" t="s">
        <v>5</v>
      </c>
      <c r="B9" s="116" t="s">
        <v>6</v>
      </c>
      <c r="C9" s="117" t="s">
        <v>7</v>
      </c>
      <c r="D9" s="117" t="s">
        <v>8</v>
      </c>
      <c r="E9" s="117" t="s">
        <v>9</v>
      </c>
      <c r="F9" s="117" t="s">
        <v>10</v>
      </c>
      <c r="G9" s="117" t="s">
        <v>11</v>
      </c>
      <c r="H9" s="117" t="s">
        <v>12</v>
      </c>
      <c r="I9" s="117" t="s">
        <v>13</v>
      </c>
      <c r="J9" s="44" t="s">
        <v>14</v>
      </c>
      <c r="K9" s="117"/>
      <c r="L9" s="117"/>
      <c r="M9" s="117"/>
      <c r="N9" s="117"/>
      <c r="O9" s="117"/>
      <c r="P9" s="117"/>
      <c r="Q9" s="117"/>
      <c r="R9" s="117"/>
      <c r="S9" s="117"/>
      <c r="T9" s="117"/>
      <c r="U9" s="118" t="s">
        <v>15</v>
      </c>
      <c r="V9" s="45" t="s">
        <v>16</v>
      </c>
      <c r="W9" s="46" t="s">
        <v>17</v>
      </c>
      <c r="X9" s="47" t="s">
        <v>18</v>
      </c>
      <c r="Y9" s="48" t="s">
        <v>19</v>
      </c>
      <c r="Z9" s="46" t="s">
        <v>20</v>
      </c>
      <c r="AA9" s="48" t="s">
        <v>21</v>
      </c>
      <c r="AB9" s="48" t="s">
        <v>22</v>
      </c>
      <c r="AC9" s="48" t="s">
        <v>23</v>
      </c>
      <c r="AD9" s="49" t="s">
        <v>24</v>
      </c>
      <c r="AE9" s="50"/>
      <c r="AF9" s="50"/>
      <c r="AG9" s="51"/>
    </row>
    <row r="10" spans="1:33" s="2" customFormat="1" ht="45.75" hidden="1" thickBot="1" x14ac:dyDescent="0.3">
      <c r="A10" s="52" t="s">
        <v>25</v>
      </c>
      <c r="B10" s="53" t="s">
        <v>26</v>
      </c>
      <c r="C10" s="119" t="s">
        <v>27</v>
      </c>
      <c r="D10" s="119" t="s">
        <v>28</v>
      </c>
      <c r="E10" s="119" t="s">
        <v>29</v>
      </c>
      <c r="F10" s="55" t="s">
        <v>30</v>
      </c>
      <c r="G10" s="55" t="s">
        <v>31</v>
      </c>
      <c r="H10" s="55" t="s">
        <v>32</v>
      </c>
      <c r="I10" s="55" t="s">
        <v>33</v>
      </c>
      <c r="J10" s="120" t="s">
        <v>34</v>
      </c>
      <c r="K10" s="173"/>
      <c r="L10" s="173"/>
      <c r="M10" s="173"/>
      <c r="N10" s="173"/>
      <c r="O10" s="173"/>
      <c r="P10" s="54"/>
      <c r="Q10" s="54"/>
      <c r="R10" s="54"/>
      <c r="S10" s="54"/>
      <c r="T10" s="55"/>
      <c r="U10" s="121" t="s">
        <v>35</v>
      </c>
      <c r="V10" s="56" t="s">
        <v>36</v>
      </c>
      <c r="W10" s="46" t="s">
        <v>17</v>
      </c>
      <c r="X10" s="47" t="s">
        <v>18</v>
      </c>
      <c r="Y10" s="48" t="s">
        <v>19</v>
      </c>
      <c r="Z10" s="46" t="s">
        <v>20</v>
      </c>
      <c r="AA10" s="48" t="s">
        <v>21</v>
      </c>
      <c r="AB10" s="48" t="s">
        <v>22</v>
      </c>
      <c r="AC10" s="57"/>
      <c r="AD10" s="58"/>
      <c r="AE10" s="59"/>
      <c r="AF10" s="59"/>
      <c r="AG10" s="60"/>
    </row>
    <row r="11" spans="1:33" s="2" customFormat="1" ht="41.25" hidden="1" customHeight="1" thickBot="1" x14ac:dyDescent="0.3">
      <c r="A11" s="52" t="s">
        <v>37</v>
      </c>
      <c r="B11" s="53" t="s">
        <v>38</v>
      </c>
      <c r="C11" s="119" t="s">
        <v>39</v>
      </c>
      <c r="D11" s="119" t="s">
        <v>40</v>
      </c>
      <c r="E11" s="119" t="s">
        <v>41</v>
      </c>
      <c r="F11" s="55" t="s">
        <v>42</v>
      </c>
      <c r="G11" s="55" t="s">
        <v>43</v>
      </c>
      <c r="H11" s="55" t="s">
        <v>44</v>
      </c>
      <c r="I11" s="55" t="s">
        <v>45</v>
      </c>
      <c r="J11" s="120" t="s">
        <v>46</v>
      </c>
      <c r="K11" s="173" t="s">
        <v>47</v>
      </c>
      <c r="L11" s="173"/>
      <c r="M11" s="173"/>
      <c r="N11" s="173"/>
      <c r="O11" s="173"/>
      <c r="P11" s="54" t="s">
        <v>48</v>
      </c>
      <c r="Q11" s="54" t="s">
        <v>49</v>
      </c>
      <c r="R11" s="54" t="s">
        <v>50</v>
      </c>
      <c r="S11" s="54" t="s">
        <v>51</v>
      </c>
      <c r="T11" s="55" t="s">
        <v>52</v>
      </c>
      <c r="U11" s="121" t="s">
        <v>53</v>
      </c>
      <c r="V11" s="56" t="s">
        <v>54</v>
      </c>
      <c r="W11" s="46" t="s">
        <v>17</v>
      </c>
      <c r="X11" s="47" t="s">
        <v>18</v>
      </c>
      <c r="Y11" s="48" t="s">
        <v>19</v>
      </c>
      <c r="Z11" s="46" t="s">
        <v>20</v>
      </c>
      <c r="AA11" s="48" t="s">
        <v>21</v>
      </c>
      <c r="AB11" s="48" t="s">
        <v>22</v>
      </c>
      <c r="AC11" s="61"/>
      <c r="AD11" s="62"/>
      <c r="AE11" s="63"/>
      <c r="AF11" s="63"/>
      <c r="AG11" s="64"/>
    </row>
    <row r="12" spans="1:33" s="1" customFormat="1" x14ac:dyDescent="0.2">
      <c r="A12" s="65"/>
      <c r="B12" s="75"/>
      <c r="C12" s="122"/>
      <c r="D12" s="123"/>
      <c r="E12" s="124"/>
      <c r="F12" s="125"/>
      <c r="G12" s="125"/>
      <c r="H12" s="126"/>
      <c r="I12" s="126"/>
      <c r="J12" s="73"/>
      <c r="K12" s="127"/>
      <c r="L12" s="66"/>
      <c r="M12" s="66"/>
      <c r="N12" s="66"/>
      <c r="O12" s="66"/>
      <c r="P12" s="67"/>
      <c r="Q12" s="66"/>
      <c r="R12" s="66"/>
      <c r="S12" s="66"/>
      <c r="T12" s="68"/>
      <c r="U12" s="128"/>
      <c r="V12" s="69"/>
      <c r="W12" s="14"/>
      <c r="X12" s="70"/>
      <c r="Y12" s="14"/>
      <c r="Z12" s="14"/>
      <c r="AA12" s="71"/>
      <c r="AB12" s="14"/>
      <c r="AC12" s="15"/>
      <c r="AD12" s="16"/>
      <c r="AE12" s="14"/>
      <c r="AF12" s="14"/>
      <c r="AG12" s="17"/>
    </row>
    <row r="13" spans="1:33" s="1" customFormat="1" ht="18.75" x14ac:dyDescent="0.2">
      <c r="A13" s="129"/>
      <c r="B13" s="72" t="s">
        <v>55</v>
      </c>
      <c r="C13" s="122"/>
      <c r="D13" s="123"/>
      <c r="E13" s="124"/>
      <c r="F13" s="125"/>
      <c r="G13" s="125"/>
      <c r="H13" s="126"/>
      <c r="I13" s="126"/>
      <c r="J13" s="73"/>
      <c r="K13" s="127"/>
      <c r="L13" s="66"/>
      <c r="M13" s="66"/>
      <c r="N13" s="66"/>
      <c r="O13" s="66"/>
      <c r="P13" s="67"/>
      <c r="Q13" s="66"/>
      <c r="R13" s="66"/>
      <c r="S13" s="66"/>
      <c r="T13" s="68"/>
      <c r="U13" s="128"/>
      <c r="V13" s="130"/>
      <c r="W13" s="14"/>
      <c r="X13" s="70"/>
      <c r="Y13" s="14"/>
      <c r="Z13" s="14"/>
      <c r="AA13" s="71"/>
      <c r="AB13" s="14"/>
      <c r="AC13" s="15"/>
      <c r="AD13" s="16"/>
      <c r="AE13" s="14"/>
      <c r="AF13" s="14"/>
      <c r="AG13" s="17"/>
    </row>
    <row r="14" spans="1:33" s="1" customFormat="1" x14ac:dyDescent="0.2">
      <c r="A14" s="129"/>
      <c r="B14" s="74"/>
      <c r="C14" s="122"/>
      <c r="D14" s="123"/>
      <c r="E14" s="124"/>
      <c r="F14" s="125"/>
      <c r="G14" s="125"/>
      <c r="H14" s="126"/>
      <c r="I14" s="126"/>
      <c r="J14" s="73"/>
      <c r="K14" s="127"/>
      <c r="L14" s="66"/>
      <c r="M14" s="66"/>
      <c r="N14" s="66"/>
      <c r="O14" s="66"/>
      <c r="P14" s="67"/>
      <c r="Q14" s="66"/>
      <c r="R14" s="66"/>
      <c r="S14" s="66"/>
      <c r="T14" s="68"/>
      <c r="U14" s="128"/>
      <c r="V14" s="130"/>
      <c r="W14" s="14"/>
      <c r="X14" s="70"/>
      <c r="Y14" s="14"/>
      <c r="Z14" s="14"/>
      <c r="AA14" s="71"/>
      <c r="AB14" s="14"/>
      <c r="AC14" s="15"/>
      <c r="AD14" s="16"/>
      <c r="AE14" s="14"/>
      <c r="AF14" s="14"/>
      <c r="AG14" s="17"/>
    </row>
    <row r="15" spans="1:33" s="1" customFormat="1" x14ac:dyDescent="0.25">
      <c r="A15" s="129" t="s">
        <v>56</v>
      </c>
      <c r="B15" s="75" t="s">
        <v>57</v>
      </c>
      <c r="C15" s="122" t="s">
        <v>58</v>
      </c>
      <c r="D15" s="123" t="s">
        <v>59</v>
      </c>
      <c r="E15" s="124" t="s">
        <v>60</v>
      </c>
      <c r="F15" s="125"/>
      <c r="G15" s="125">
        <f>F15*J15</f>
        <v>0</v>
      </c>
      <c r="H15" s="126"/>
      <c r="I15" s="126">
        <f>H15*J15</f>
        <v>0</v>
      </c>
      <c r="J15" s="73">
        <v>1</v>
      </c>
      <c r="K15" s="127"/>
      <c r="L15" s="66" t="s">
        <v>61</v>
      </c>
      <c r="M15" s="66"/>
      <c r="N15" s="66" t="s">
        <v>61</v>
      </c>
      <c r="O15" s="66"/>
      <c r="P15" s="67">
        <v>1</v>
      </c>
      <c r="Q15" s="66">
        <f>(K15* M15* O15*P15) / (1000*1000*1000)</f>
        <v>0</v>
      </c>
      <c r="R15" s="66" t="s">
        <v>62</v>
      </c>
      <c r="S15" s="66">
        <f>F15*P15</f>
        <v>0</v>
      </c>
      <c r="T15" s="68">
        <f>0*P15</f>
        <v>0</v>
      </c>
      <c r="U15" s="128">
        <v>300</v>
      </c>
      <c r="V15" s="130">
        <f>U15*J15</f>
        <v>300</v>
      </c>
      <c r="W15" s="26"/>
      <c r="X15" s="76"/>
      <c r="Y15" s="26"/>
      <c r="Z15" s="26"/>
      <c r="AA15" s="77"/>
      <c r="AB15" s="26"/>
      <c r="AC15" s="78"/>
      <c r="AD15" s="16"/>
      <c r="AE15" s="14"/>
      <c r="AF15" s="14"/>
      <c r="AG15" s="17"/>
    </row>
    <row r="16" spans="1:33" x14ac:dyDescent="0.25">
      <c r="A16" s="79"/>
      <c r="B16" s="113"/>
      <c r="C16" s="113"/>
      <c r="D16" s="113"/>
      <c r="E16" s="113"/>
      <c r="F16" s="113"/>
      <c r="G16" s="113"/>
      <c r="H16" s="113"/>
      <c r="I16" s="113"/>
      <c r="J16" s="114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5"/>
      <c r="V16" s="80"/>
    </row>
    <row r="17" spans="1:29" x14ac:dyDescent="0.25">
      <c r="A17" s="79" t="s">
        <v>63</v>
      </c>
      <c r="B17" s="131" t="s">
        <v>64</v>
      </c>
      <c r="C17" s="132" t="s">
        <v>65</v>
      </c>
      <c r="D17" s="132" t="s">
        <v>66</v>
      </c>
      <c r="E17" s="132" t="s">
        <v>67</v>
      </c>
      <c r="F17" s="132">
        <v>12</v>
      </c>
      <c r="G17" s="132">
        <f>F17*J17</f>
        <v>12</v>
      </c>
      <c r="H17" s="132">
        <v>0.43000000000000005</v>
      </c>
      <c r="I17" s="132">
        <f>H17*J17</f>
        <v>0.43</v>
      </c>
      <c r="J17" s="133">
        <v>1</v>
      </c>
      <c r="K17" s="132">
        <v>650</v>
      </c>
      <c r="L17" s="132" t="s">
        <v>61</v>
      </c>
      <c r="M17" s="132">
        <v>960</v>
      </c>
      <c r="N17" s="132" t="s">
        <v>61</v>
      </c>
      <c r="O17" s="132">
        <v>300</v>
      </c>
      <c r="P17" s="132">
        <v>1</v>
      </c>
      <c r="Q17" s="132">
        <f>(K17* M17* O17*P17) / (1000*1000*1000)</f>
        <v>0.19</v>
      </c>
      <c r="R17" s="132" t="s">
        <v>62</v>
      </c>
      <c r="S17" s="132">
        <f>F17*P17</f>
        <v>12</v>
      </c>
      <c r="T17" s="132">
        <f>17*P17</f>
        <v>17</v>
      </c>
      <c r="U17" s="134">
        <v>94.6</v>
      </c>
      <c r="V17" s="81">
        <f>U17*J17</f>
        <v>94.6</v>
      </c>
      <c r="W17" s="82"/>
      <c r="X17" s="83"/>
      <c r="Y17" s="84"/>
      <c r="Z17" s="82"/>
      <c r="AA17" s="84"/>
      <c r="AB17" s="84"/>
      <c r="AC17" s="84"/>
    </row>
    <row r="18" spans="1:29" x14ac:dyDescent="0.25">
      <c r="A18" s="79"/>
      <c r="B18" s="113"/>
      <c r="C18" s="113"/>
      <c r="D18" s="113"/>
      <c r="E18" s="113"/>
      <c r="F18" s="113"/>
      <c r="G18" s="113"/>
      <c r="H18" s="113"/>
      <c r="I18" s="113"/>
      <c r="J18" s="114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5"/>
      <c r="V18" s="80"/>
    </row>
    <row r="19" spans="1:29" x14ac:dyDescent="0.25">
      <c r="A19" s="79" t="s">
        <v>68</v>
      </c>
      <c r="B19" s="131" t="s">
        <v>69</v>
      </c>
      <c r="C19" s="132" t="s">
        <v>65</v>
      </c>
      <c r="D19" s="132" t="s">
        <v>70</v>
      </c>
      <c r="E19" s="132" t="s">
        <v>71</v>
      </c>
      <c r="F19" s="132">
        <v>0</v>
      </c>
      <c r="G19" s="132">
        <f>F19*J19</f>
        <v>0</v>
      </c>
      <c r="H19" s="132">
        <v>1.03</v>
      </c>
      <c r="I19" s="132">
        <f>H19*J19</f>
        <v>8.24</v>
      </c>
      <c r="J19" s="133">
        <v>8</v>
      </c>
      <c r="K19" s="132">
        <v>1320</v>
      </c>
      <c r="L19" s="132" t="s">
        <v>61</v>
      </c>
      <c r="M19" s="132">
        <v>630</v>
      </c>
      <c r="N19" s="132" t="s">
        <v>61</v>
      </c>
      <c r="O19" s="132">
        <v>250</v>
      </c>
      <c r="P19" s="132">
        <v>8</v>
      </c>
      <c r="Q19" s="132">
        <f>(K19* M19* O19*P19) / (1000*1000*1000)</f>
        <v>1.66</v>
      </c>
      <c r="R19" s="132" t="s">
        <v>62</v>
      </c>
      <c r="S19" s="132">
        <f>F19*P19</f>
        <v>0</v>
      </c>
      <c r="T19" s="132">
        <f>0*P19</f>
        <v>0</v>
      </c>
      <c r="U19" s="134">
        <v>127.28</v>
      </c>
      <c r="V19" s="81">
        <f>U19*J19</f>
        <v>1018.24</v>
      </c>
      <c r="W19" s="82"/>
      <c r="X19" s="83"/>
      <c r="Y19" s="84"/>
      <c r="Z19" s="82"/>
      <c r="AA19" s="84"/>
      <c r="AB19" s="84"/>
      <c r="AC19" s="84"/>
    </row>
    <row r="20" spans="1:29" x14ac:dyDescent="0.25">
      <c r="A20" s="79"/>
      <c r="B20" s="113"/>
      <c r="C20" s="113"/>
      <c r="D20" s="113"/>
      <c r="E20" s="113"/>
      <c r="F20" s="113"/>
      <c r="G20" s="113"/>
      <c r="H20" s="113"/>
      <c r="I20" s="113"/>
      <c r="J20" s="114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5"/>
      <c r="V20" s="80"/>
    </row>
    <row r="21" spans="1:29" x14ac:dyDescent="0.25">
      <c r="A21" s="79" t="s">
        <v>72</v>
      </c>
      <c r="B21" s="131" t="s">
        <v>73</v>
      </c>
      <c r="C21" s="132" t="s">
        <v>58</v>
      </c>
      <c r="D21" s="132" t="s">
        <v>74</v>
      </c>
      <c r="E21" s="132" t="s">
        <v>75</v>
      </c>
      <c r="F21" s="132"/>
      <c r="G21" s="132">
        <f>F21*J21</f>
        <v>0</v>
      </c>
      <c r="H21" s="132"/>
      <c r="I21" s="132">
        <f>H21*J21</f>
        <v>0</v>
      </c>
      <c r="J21" s="133">
        <v>4</v>
      </c>
      <c r="K21" s="132"/>
      <c r="L21" s="132" t="s">
        <v>61</v>
      </c>
      <c r="M21" s="132"/>
      <c r="N21" s="132" t="s">
        <v>61</v>
      </c>
      <c r="O21" s="132"/>
      <c r="P21" s="132">
        <v>4</v>
      </c>
      <c r="Q21" s="132">
        <f>(K21* M21* O21*P21) / (1000*1000*1000)</f>
        <v>0</v>
      </c>
      <c r="R21" s="132" t="s">
        <v>62</v>
      </c>
      <c r="S21" s="132">
        <f>F21*P21</f>
        <v>0</v>
      </c>
      <c r="T21" s="132">
        <f>0*P21</f>
        <v>0</v>
      </c>
      <c r="U21" s="134">
        <v>21.54</v>
      </c>
      <c r="V21" s="81">
        <f>U21*J21</f>
        <v>86.16</v>
      </c>
      <c r="W21" s="82"/>
      <c r="X21" s="83"/>
      <c r="Y21" s="84"/>
      <c r="Z21" s="82"/>
      <c r="AA21" s="84"/>
      <c r="AB21" s="84"/>
      <c r="AC21" s="84"/>
    </row>
    <row r="22" spans="1:29" x14ac:dyDescent="0.25">
      <c r="A22" s="79"/>
      <c r="B22" s="113"/>
      <c r="C22" s="113"/>
      <c r="D22" s="113"/>
      <c r="E22" s="113"/>
      <c r="F22" s="113"/>
      <c r="G22" s="113"/>
      <c r="H22" s="113"/>
      <c r="I22" s="113"/>
      <c r="J22" s="114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5"/>
      <c r="V22" s="80"/>
    </row>
    <row r="23" spans="1:29" x14ac:dyDescent="0.25">
      <c r="A23" s="79" t="s">
        <v>76</v>
      </c>
      <c r="B23" s="131" t="s">
        <v>77</v>
      </c>
      <c r="C23" s="132" t="s">
        <v>78</v>
      </c>
      <c r="D23" s="132" t="s">
        <v>79</v>
      </c>
      <c r="E23" s="132" t="s">
        <v>60</v>
      </c>
      <c r="F23" s="132"/>
      <c r="G23" s="132">
        <f>F23*J23</f>
        <v>0</v>
      </c>
      <c r="H23" s="132"/>
      <c r="I23" s="132">
        <f>H23*J23</f>
        <v>0</v>
      </c>
      <c r="J23" s="133">
        <v>1</v>
      </c>
      <c r="K23" s="132"/>
      <c r="L23" s="132" t="s">
        <v>61</v>
      </c>
      <c r="M23" s="132"/>
      <c r="N23" s="132" t="s">
        <v>61</v>
      </c>
      <c r="O23" s="132"/>
      <c r="P23" s="132">
        <v>1</v>
      </c>
      <c r="Q23" s="132">
        <f>(K23* M23* O23*P23) / (1000*1000*1000)</f>
        <v>0</v>
      </c>
      <c r="R23" s="132" t="s">
        <v>62</v>
      </c>
      <c r="S23" s="132">
        <f>F23*P23</f>
        <v>0</v>
      </c>
      <c r="T23" s="132">
        <f>0*P23</f>
        <v>0</v>
      </c>
      <c r="U23" s="134">
        <v>45.15</v>
      </c>
      <c r="V23" s="81">
        <f>U23*J23</f>
        <v>45.15</v>
      </c>
      <c r="W23" s="82"/>
      <c r="X23" s="83"/>
      <c r="Y23" s="84"/>
      <c r="Z23" s="82"/>
      <c r="AA23" s="84"/>
      <c r="AB23" s="84"/>
      <c r="AC23" s="84"/>
    </row>
    <row r="24" spans="1:29" x14ac:dyDescent="0.25">
      <c r="A24" s="79"/>
      <c r="B24" s="113"/>
      <c r="C24" s="113"/>
      <c r="D24" s="113"/>
      <c r="E24" s="113"/>
      <c r="F24" s="113"/>
      <c r="G24" s="113"/>
      <c r="H24" s="113"/>
      <c r="I24" s="113"/>
      <c r="J24" s="114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5"/>
      <c r="V24" s="80"/>
    </row>
    <row r="25" spans="1:29" x14ac:dyDescent="0.25">
      <c r="A25" s="79" t="s">
        <v>80</v>
      </c>
      <c r="B25" s="131" t="s">
        <v>81</v>
      </c>
      <c r="C25" s="132" t="s">
        <v>65</v>
      </c>
      <c r="D25" s="132" t="s">
        <v>82</v>
      </c>
      <c r="E25" s="132" t="s">
        <v>83</v>
      </c>
      <c r="F25" s="132">
        <v>7</v>
      </c>
      <c r="G25" s="132">
        <f>F25*J25</f>
        <v>7</v>
      </c>
      <c r="H25" s="132">
        <v>0.05</v>
      </c>
      <c r="I25" s="132">
        <f>H25*J25</f>
        <v>0.05</v>
      </c>
      <c r="J25" s="133">
        <v>1</v>
      </c>
      <c r="K25" s="132">
        <v>605</v>
      </c>
      <c r="L25" s="132" t="s">
        <v>61</v>
      </c>
      <c r="M25" s="132">
        <v>550</v>
      </c>
      <c r="N25" s="132" t="s">
        <v>61</v>
      </c>
      <c r="O25" s="132">
        <v>320</v>
      </c>
      <c r="P25" s="132">
        <v>1</v>
      </c>
      <c r="Q25" s="132">
        <f>(K25* M25* O25*P25) / (1000*1000*1000)</f>
        <v>0.11</v>
      </c>
      <c r="R25" s="132" t="s">
        <v>62</v>
      </c>
      <c r="S25" s="132">
        <f>F25*P25</f>
        <v>7</v>
      </c>
      <c r="T25" s="132">
        <f>12*P25</f>
        <v>12</v>
      </c>
      <c r="U25" s="134">
        <v>86</v>
      </c>
      <c r="V25" s="81">
        <f>U25*J25</f>
        <v>86</v>
      </c>
      <c r="W25" s="82"/>
      <c r="X25" s="83"/>
      <c r="Y25" s="84"/>
      <c r="Z25" s="82"/>
      <c r="AA25" s="84"/>
      <c r="AB25" s="84"/>
      <c r="AC25" s="84"/>
    </row>
    <row r="26" spans="1:29" x14ac:dyDescent="0.25">
      <c r="A26" s="79"/>
      <c r="B26" s="113"/>
      <c r="C26" s="113"/>
      <c r="D26" s="113"/>
      <c r="E26" s="113"/>
      <c r="F26" s="113"/>
      <c r="G26" s="113"/>
      <c r="H26" s="113"/>
      <c r="I26" s="113"/>
      <c r="J26" s="114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5"/>
      <c r="V26" s="80"/>
    </row>
    <row r="27" spans="1:29" ht="18.75" x14ac:dyDescent="0.3">
      <c r="A27" s="79"/>
      <c r="B27" s="135" t="s">
        <v>84</v>
      </c>
      <c r="C27" s="113"/>
      <c r="D27" s="113"/>
      <c r="E27" s="113"/>
      <c r="F27" s="113"/>
      <c r="G27" s="113"/>
      <c r="H27" s="113"/>
      <c r="I27" s="113"/>
      <c r="J27" s="114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5"/>
      <c r="V27" s="80"/>
    </row>
    <row r="28" spans="1:29" x14ac:dyDescent="0.25">
      <c r="A28" s="79"/>
      <c r="B28" s="113"/>
      <c r="C28" s="113"/>
      <c r="D28" s="113"/>
      <c r="E28" s="113"/>
      <c r="F28" s="113"/>
      <c r="G28" s="113"/>
      <c r="H28" s="113"/>
      <c r="I28" s="113"/>
      <c r="J28" s="114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5"/>
      <c r="V28" s="80"/>
    </row>
    <row r="29" spans="1:29" x14ac:dyDescent="0.25">
      <c r="A29" s="79" t="s">
        <v>85</v>
      </c>
      <c r="B29" s="131" t="s">
        <v>69</v>
      </c>
      <c r="C29" s="132" t="s">
        <v>65</v>
      </c>
      <c r="D29" s="132" t="s">
        <v>70</v>
      </c>
      <c r="E29" s="132" t="s">
        <v>71</v>
      </c>
      <c r="F29" s="132">
        <v>0</v>
      </c>
      <c r="G29" s="132">
        <f>F29*J29</f>
        <v>0</v>
      </c>
      <c r="H29" s="132">
        <v>1.03</v>
      </c>
      <c r="I29" s="132">
        <f>H29*J29</f>
        <v>4.12</v>
      </c>
      <c r="J29" s="133">
        <v>4</v>
      </c>
      <c r="K29" s="132">
        <v>1320</v>
      </c>
      <c r="L29" s="132" t="s">
        <v>61</v>
      </c>
      <c r="M29" s="132">
        <v>630</v>
      </c>
      <c r="N29" s="132" t="s">
        <v>61</v>
      </c>
      <c r="O29" s="132">
        <v>250</v>
      </c>
      <c r="P29" s="132">
        <v>4</v>
      </c>
      <c r="Q29" s="132">
        <f>(K29* M29* O29*P29) / (1000*1000*1000)</f>
        <v>0.83</v>
      </c>
      <c r="R29" s="132" t="s">
        <v>62</v>
      </c>
      <c r="S29" s="132">
        <f>F29*P29</f>
        <v>0</v>
      </c>
      <c r="T29" s="132">
        <f>0*P29</f>
        <v>0</v>
      </c>
      <c r="U29" s="134">
        <v>127.28</v>
      </c>
      <c r="V29" s="81">
        <f>U29*J29</f>
        <v>509.12</v>
      </c>
      <c r="W29" s="82"/>
      <c r="X29" s="83"/>
      <c r="Y29" s="84"/>
      <c r="Z29" s="82"/>
      <c r="AA29" s="84"/>
      <c r="AB29" s="84"/>
      <c r="AC29" s="84"/>
    </row>
    <row r="30" spans="1:29" x14ac:dyDescent="0.25">
      <c r="A30" s="79"/>
      <c r="B30" s="113"/>
      <c r="C30" s="113"/>
      <c r="D30" s="113"/>
      <c r="E30" s="113"/>
      <c r="F30" s="113"/>
      <c r="G30" s="113"/>
      <c r="H30" s="113"/>
      <c r="I30" s="113"/>
      <c r="J30" s="114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5"/>
      <c r="V30" s="80"/>
    </row>
    <row r="31" spans="1:29" x14ac:dyDescent="0.25">
      <c r="A31" s="79" t="s">
        <v>86</v>
      </c>
      <c r="B31" s="131" t="s">
        <v>73</v>
      </c>
      <c r="C31" s="132" t="s">
        <v>58</v>
      </c>
      <c r="D31" s="132" t="s">
        <v>74</v>
      </c>
      <c r="E31" s="132" t="s">
        <v>75</v>
      </c>
      <c r="F31" s="132"/>
      <c r="G31" s="132">
        <f>F31*J31</f>
        <v>0</v>
      </c>
      <c r="H31" s="132"/>
      <c r="I31" s="132">
        <f>H31*J31</f>
        <v>0</v>
      </c>
      <c r="J31" s="133">
        <v>1</v>
      </c>
      <c r="K31" s="132"/>
      <c r="L31" s="132" t="s">
        <v>61</v>
      </c>
      <c r="M31" s="132"/>
      <c r="N31" s="132" t="s">
        <v>61</v>
      </c>
      <c r="O31" s="132"/>
      <c r="P31" s="132">
        <v>1</v>
      </c>
      <c r="Q31" s="132">
        <f>(K31* M31* O31*P31) / (1000*1000*1000)</f>
        <v>0</v>
      </c>
      <c r="R31" s="132" t="s">
        <v>62</v>
      </c>
      <c r="S31" s="132">
        <f>F31*P31</f>
        <v>0</v>
      </c>
      <c r="T31" s="132">
        <f>0*P31</f>
        <v>0</v>
      </c>
      <c r="U31" s="134">
        <v>21.54</v>
      </c>
      <c r="V31" s="81">
        <f>U31*J31</f>
        <v>21.54</v>
      </c>
      <c r="W31" s="82"/>
      <c r="X31" s="83"/>
      <c r="Y31" s="84"/>
      <c r="Z31" s="82"/>
      <c r="AA31" s="84"/>
      <c r="AB31" s="84"/>
      <c r="AC31" s="84"/>
    </row>
    <row r="32" spans="1:29" x14ac:dyDescent="0.25">
      <c r="A32" s="79"/>
      <c r="B32" s="113"/>
      <c r="C32" s="113"/>
      <c r="D32" s="113"/>
      <c r="E32" s="113"/>
      <c r="F32" s="113"/>
      <c r="G32" s="113"/>
      <c r="H32" s="113"/>
      <c r="I32" s="113"/>
      <c r="J32" s="114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5"/>
      <c r="V32" s="80"/>
    </row>
    <row r="33" spans="1:29" ht="18.75" x14ac:dyDescent="0.3">
      <c r="A33" s="79"/>
      <c r="B33" s="135" t="s">
        <v>87</v>
      </c>
      <c r="C33" s="113"/>
      <c r="D33" s="113"/>
      <c r="E33" s="113"/>
      <c r="F33" s="113"/>
      <c r="G33" s="113"/>
      <c r="H33" s="113"/>
      <c r="I33" s="113"/>
      <c r="J33" s="114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5"/>
      <c r="V33" s="80"/>
    </row>
    <row r="34" spans="1:29" x14ac:dyDescent="0.25">
      <c r="A34" s="79"/>
      <c r="B34" s="113"/>
      <c r="C34" s="113"/>
      <c r="D34" s="113"/>
      <c r="E34" s="113"/>
      <c r="F34" s="113"/>
      <c r="G34" s="113"/>
      <c r="H34" s="113"/>
      <c r="I34" s="113"/>
      <c r="J34" s="114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5"/>
      <c r="V34" s="80"/>
    </row>
    <row r="35" spans="1:29" x14ac:dyDescent="0.25">
      <c r="A35" s="79" t="s">
        <v>88</v>
      </c>
      <c r="B35" s="131" t="s">
        <v>69</v>
      </c>
      <c r="C35" s="132" t="s">
        <v>65</v>
      </c>
      <c r="D35" s="132" t="s">
        <v>70</v>
      </c>
      <c r="E35" s="132" t="s">
        <v>71</v>
      </c>
      <c r="F35" s="132">
        <v>0</v>
      </c>
      <c r="G35" s="132">
        <f>F35*J35</f>
        <v>0</v>
      </c>
      <c r="H35" s="132">
        <v>1.03</v>
      </c>
      <c r="I35" s="132">
        <f>H35*J35</f>
        <v>2.06</v>
      </c>
      <c r="J35" s="133">
        <v>2</v>
      </c>
      <c r="K35" s="132">
        <v>1320</v>
      </c>
      <c r="L35" s="132" t="s">
        <v>61</v>
      </c>
      <c r="M35" s="132">
        <v>630</v>
      </c>
      <c r="N35" s="132" t="s">
        <v>61</v>
      </c>
      <c r="O35" s="132">
        <v>250</v>
      </c>
      <c r="P35" s="132">
        <v>2</v>
      </c>
      <c r="Q35" s="132">
        <f>(K35* M35* O35*P35) / (1000*1000*1000)</f>
        <v>0.42</v>
      </c>
      <c r="R35" s="132" t="s">
        <v>62</v>
      </c>
      <c r="S35" s="132">
        <f>F35*P35</f>
        <v>0</v>
      </c>
      <c r="T35" s="132">
        <f>0*P35</f>
        <v>0</v>
      </c>
      <c r="U35" s="134">
        <v>127.28</v>
      </c>
      <c r="V35" s="81">
        <f>U35*J35</f>
        <v>254.56</v>
      </c>
      <c r="W35" s="82"/>
      <c r="X35" s="83"/>
      <c r="Y35" s="84"/>
      <c r="Z35" s="82"/>
      <c r="AA35" s="84"/>
      <c r="AB35" s="84"/>
      <c r="AC35" s="84"/>
    </row>
    <row r="36" spans="1:29" x14ac:dyDescent="0.25">
      <c r="A36" s="79"/>
      <c r="B36" s="113"/>
      <c r="C36" s="113"/>
      <c r="D36" s="113"/>
      <c r="E36" s="113"/>
      <c r="F36" s="113"/>
      <c r="G36" s="113"/>
      <c r="H36" s="113"/>
      <c r="I36" s="113"/>
      <c r="J36" s="114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5"/>
      <c r="V36" s="80"/>
    </row>
    <row r="37" spans="1:29" x14ac:dyDescent="0.25">
      <c r="A37" s="79" t="s">
        <v>89</v>
      </c>
      <c r="B37" s="131" t="s">
        <v>69</v>
      </c>
      <c r="C37" s="132" t="s">
        <v>65</v>
      </c>
      <c r="D37" s="132" t="s">
        <v>90</v>
      </c>
      <c r="E37" s="132" t="s">
        <v>91</v>
      </c>
      <c r="F37" s="132">
        <v>0</v>
      </c>
      <c r="G37" s="132">
        <f>F37*J37</f>
        <v>0</v>
      </c>
      <c r="H37" s="132">
        <v>1.29</v>
      </c>
      <c r="I37" s="132">
        <f>H37*J37</f>
        <v>3.87</v>
      </c>
      <c r="J37" s="133">
        <v>3</v>
      </c>
      <c r="K37" s="132">
        <v>1620</v>
      </c>
      <c r="L37" s="132" t="s">
        <v>61</v>
      </c>
      <c r="M37" s="132">
        <v>630</v>
      </c>
      <c r="N37" s="132" t="s">
        <v>61</v>
      </c>
      <c r="O37" s="132">
        <v>250</v>
      </c>
      <c r="P37" s="132">
        <v>3</v>
      </c>
      <c r="Q37" s="132">
        <f>(K37* M37* O37*P37) / (1000*1000*1000)</f>
        <v>0.77</v>
      </c>
      <c r="R37" s="132" t="s">
        <v>62</v>
      </c>
      <c r="S37" s="132">
        <f>F37*P37</f>
        <v>0</v>
      </c>
      <c r="T37" s="132">
        <f>0*P37</f>
        <v>0</v>
      </c>
      <c r="U37" s="134">
        <v>144.48000000000002</v>
      </c>
      <c r="V37" s="81">
        <f>U37*J37</f>
        <v>433.44</v>
      </c>
      <c r="W37" s="82"/>
      <c r="X37" s="83"/>
      <c r="Y37" s="84"/>
      <c r="Z37" s="82"/>
      <c r="AA37" s="84"/>
      <c r="AB37" s="84"/>
      <c r="AC37" s="84"/>
    </row>
    <row r="38" spans="1:29" x14ac:dyDescent="0.25">
      <c r="A38" s="79"/>
      <c r="B38" s="113"/>
      <c r="C38" s="113"/>
      <c r="D38" s="113"/>
      <c r="E38" s="113"/>
      <c r="F38" s="113"/>
      <c r="G38" s="113"/>
      <c r="H38" s="113"/>
      <c r="I38" s="113"/>
      <c r="J38" s="114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5"/>
      <c r="V38" s="80"/>
    </row>
    <row r="39" spans="1:29" x14ac:dyDescent="0.25">
      <c r="A39" s="79" t="s">
        <v>92</v>
      </c>
      <c r="B39" s="131" t="s">
        <v>73</v>
      </c>
      <c r="C39" s="132" t="s">
        <v>58</v>
      </c>
      <c r="D39" s="132" t="s">
        <v>74</v>
      </c>
      <c r="E39" s="132" t="s">
        <v>75</v>
      </c>
      <c r="F39" s="132"/>
      <c r="G39" s="132">
        <f>F39*J39</f>
        <v>0</v>
      </c>
      <c r="H39" s="132"/>
      <c r="I39" s="132">
        <f>H39*J39</f>
        <v>0</v>
      </c>
      <c r="J39" s="133">
        <v>2</v>
      </c>
      <c r="K39" s="132"/>
      <c r="L39" s="132" t="s">
        <v>61</v>
      </c>
      <c r="M39" s="132"/>
      <c r="N39" s="132" t="s">
        <v>61</v>
      </c>
      <c r="O39" s="132"/>
      <c r="P39" s="132">
        <v>2</v>
      </c>
      <c r="Q39" s="132">
        <f>(K39* M39* O39*P39) / (1000*1000*1000)</f>
        <v>0</v>
      </c>
      <c r="R39" s="132" t="s">
        <v>62</v>
      </c>
      <c r="S39" s="132">
        <f>F39*P39</f>
        <v>0</v>
      </c>
      <c r="T39" s="132">
        <f>0*P39</f>
        <v>0</v>
      </c>
      <c r="U39" s="134">
        <v>21.54</v>
      </c>
      <c r="V39" s="81">
        <f>U39*J39</f>
        <v>43.08</v>
      </c>
      <c r="W39" s="82"/>
      <c r="X39" s="83"/>
      <c r="Y39" s="84"/>
      <c r="Z39" s="82"/>
      <c r="AA39" s="84"/>
      <c r="AB39" s="84"/>
      <c r="AC39" s="84"/>
    </row>
    <row r="40" spans="1:29" x14ac:dyDescent="0.25">
      <c r="A40" s="79"/>
      <c r="B40" s="113"/>
      <c r="C40" s="113"/>
      <c r="D40" s="113"/>
      <c r="E40" s="113"/>
      <c r="F40" s="113"/>
      <c r="G40" s="113"/>
      <c r="H40" s="113"/>
      <c r="I40" s="113"/>
      <c r="J40" s="114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5"/>
      <c r="V40" s="80"/>
    </row>
    <row r="41" spans="1:29" ht="15.75" thickBot="1" x14ac:dyDescent="0.3">
      <c r="A41" s="136"/>
      <c r="B41" s="137"/>
      <c r="C41" s="137"/>
      <c r="D41" s="137"/>
      <c r="E41" s="137"/>
      <c r="F41" s="137"/>
      <c r="G41" s="137"/>
      <c r="H41" s="137"/>
      <c r="I41" s="137"/>
      <c r="J41" s="138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9"/>
      <c r="V41" s="140"/>
    </row>
    <row r="42" spans="1:29" ht="18.75" x14ac:dyDescent="0.3">
      <c r="A42" s="141"/>
      <c r="B42" s="142" t="s">
        <v>93</v>
      </c>
      <c r="C42" s="143"/>
      <c r="D42" s="143"/>
      <c r="E42" s="143"/>
      <c r="F42" s="143"/>
      <c r="G42" s="143"/>
      <c r="H42" s="143"/>
      <c r="I42" s="143"/>
      <c r="J42" s="144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5"/>
      <c r="V42" s="146"/>
    </row>
    <row r="43" spans="1:29" ht="6" customHeight="1" x14ac:dyDescent="0.25">
      <c r="A43" s="79"/>
      <c r="B43" s="113"/>
      <c r="C43" s="113"/>
      <c r="D43" s="113"/>
      <c r="E43" s="113"/>
      <c r="F43" s="113"/>
      <c r="G43" s="113"/>
      <c r="H43" s="113"/>
      <c r="I43" s="113"/>
      <c r="J43" s="114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5"/>
      <c r="V43" s="80"/>
    </row>
    <row r="44" spans="1:29" x14ac:dyDescent="0.25">
      <c r="A44" s="79" t="s">
        <v>94</v>
      </c>
      <c r="B44" s="131" t="s">
        <v>69</v>
      </c>
      <c r="C44" s="132" t="s">
        <v>65</v>
      </c>
      <c r="D44" s="132" t="s">
        <v>70</v>
      </c>
      <c r="E44" s="132" t="s">
        <v>71</v>
      </c>
      <c r="F44" s="132">
        <v>0</v>
      </c>
      <c r="G44" s="132">
        <f>F44*J44</f>
        <v>0</v>
      </c>
      <c r="H44" s="132">
        <v>1.03</v>
      </c>
      <c r="I44" s="132">
        <f>H44*J44</f>
        <v>2.06</v>
      </c>
      <c r="J44" s="133">
        <v>2</v>
      </c>
      <c r="K44" s="132">
        <v>1320</v>
      </c>
      <c r="L44" s="132" t="s">
        <v>61</v>
      </c>
      <c r="M44" s="132">
        <v>630</v>
      </c>
      <c r="N44" s="132" t="s">
        <v>61</v>
      </c>
      <c r="O44" s="132">
        <v>250</v>
      </c>
      <c r="P44" s="132">
        <v>2</v>
      </c>
      <c r="Q44" s="132">
        <f>(K44* M44* O44*P44) / (1000*1000*1000)</f>
        <v>0.42</v>
      </c>
      <c r="R44" s="132" t="s">
        <v>62</v>
      </c>
      <c r="S44" s="132">
        <f>F44*P44</f>
        <v>0</v>
      </c>
      <c r="T44" s="132">
        <f>0*P44</f>
        <v>0</v>
      </c>
      <c r="U44" s="134">
        <v>127.28</v>
      </c>
      <c r="V44" s="81">
        <f>U44*J44</f>
        <v>254.56</v>
      </c>
      <c r="W44" s="82"/>
      <c r="X44" s="83"/>
      <c r="Y44" s="84"/>
      <c r="Z44" s="82"/>
      <c r="AA44" s="84"/>
      <c r="AB44" s="84"/>
      <c r="AC44" s="84"/>
    </row>
    <row r="45" spans="1:29" x14ac:dyDescent="0.25">
      <c r="A45" s="79"/>
      <c r="B45" s="113"/>
      <c r="C45" s="113"/>
      <c r="D45" s="113"/>
      <c r="E45" s="113"/>
      <c r="F45" s="113"/>
      <c r="G45" s="113"/>
      <c r="H45" s="113"/>
      <c r="I45" s="113"/>
      <c r="J45" s="114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5"/>
      <c r="V45" s="80"/>
    </row>
    <row r="46" spans="1:29" x14ac:dyDescent="0.25">
      <c r="A46" s="79" t="s">
        <v>95</v>
      </c>
      <c r="B46" s="131" t="s">
        <v>69</v>
      </c>
      <c r="C46" s="132" t="s">
        <v>65</v>
      </c>
      <c r="D46" s="132" t="s">
        <v>96</v>
      </c>
      <c r="E46" s="132" t="s">
        <v>97</v>
      </c>
      <c r="F46" s="132">
        <v>0</v>
      </c>
      <c r="G46" s="132">
        <f>F46*J46</f>
        <v>0</v>
      </c>
      <c r="H46" s="132">
        <v>1.1600000000000001</v>
      </c>
      <c r="I46" s="132">
        <f>H46*J46</f>
        <v>3.48</v>
      </c>
      <c r="J46" s="133">
        <v>3</v>
      </c>
      <c r="K46" s="132">
        <v>1470</v>
      </c>
      <c r="L46" s="132" t="s">
        <v>61</v>
      </c>
      <c r="M46" s="132">
        <v>630</v>
      </c>
      <c r="N46" s="132" t="s">
        <v>61</v>
      </c>
      <c r="O46" s="132">
        <v>250</v>
      </c>
      <c r="P46" s="132">
        <v>3</v>
      </c>
      <c r="Q46" s="132">
        <f>(K46* M46* O46*P46) / (1000*1000*1000)</f>
        <v>0.69</v>
      </c>
      <c r="R46" s="132" t="s">
        <v>62</v>
      </c>
      <c r="S46" s="132">
        <f>F46*P46</f>
        <v>0</v>
      </c>
      <c r="T46" s="132">
        <f>0*P46</f>
        <v>0</v>
      </c>
      <c r="U46" s="134">
        <v>137.6</v>
      </c>
      <c r="V46" s="81">
        <f>U46*J46</f>
        <v>412.8</v>
      </c>
      <c r="W46" s="82"/>
      <c r="X46" s="83"/>
      <c r="Y46" s="84"/>
      <c r="Z46" s="82"/>
      <c r="AA46" s="84"/>
      <c r="AB46" s="84"/>
      <c r="AC46" s="84"/>
    </row>
    <row r="47" spans="1:29" x14ac:dyDescent="0.25">
      <c r="A47" s="79"/>
      <c r="B47" s="113"/>
      <c r="C47" s="113"/>
      <c r="D47" s="113"/>
      <c r="E47" s="113"/>
      <c r="F47" s="113"/>
      <c r="G47" s="113"/>
      <c r="H47" s="113"/>
      <c r="I47" s="113"/>
      <c r="J47" s="114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5"/>
      <c r="V47" s="80"/>
    </row>
    <row r="48" spans="1:29" ht="18.75" x14ac:dyDescent="0.3">
      <c r="A48" s="79"/>
      <c r="B48" s="135" t="s">
        <v>98</v>
      </c>
      <c r="C48" s="113"/>
      <c r="D48" s="113"/>
      <c r="E48" s="113"/>
      <c r="F48" s="113"/>
      <c r="G48" s="113"/>
      <c r="H48" s="113"/>
      <c r="I48" s="113"/>
      <c r="J48" s="114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5"/>
      <c r="V48" s="80"/>
    </row>
    <row r="49" spans="1:29" ht="6.75" customHeight="1" x14ac:dyDescent="0.25">
      <c r="A49" s="79"/>
      <c r="B49" s="113"/>
      <c r="C49" s="113"/>
      <c r="D49" s="113"/>
      <c r="E49" s="113"/>
      <c r="F49" s="113"/>
      <c r="G49" s="113"/>
      <c r="H49" s="113"/>
      <c r="I49" s="113"/>
      <c r="J49" s="114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5"/>
      <c r="V49" s="80"/>
    </row>
    <row r="50" spans="1:29" x14ac:dyDescent="0.25">
      <c r="A50" s="79" t="s">
        <v>99</v>
      </c>
      <c r="B50" s="131" t="s">
        <v>69</v>
      </c>
      <c r="C50" s="132" t="s">
        <v>65</v>
      </c>
      <c r="D50" s="132" t="s">
        <v>70</v>
      </c>
      <c r="E50" s="132" t="s">
        <v>71</v>
      </c>
      <c r="F50" s="132">
        <v>0</v>
      </c>
      <c r="G50" s="132">
        <f>F50*J50</f>
        <v>0</v>
      </c>
      <c r="H50" s="132">
        <v>1.03</v>
      </c>
      <c r="I50" s="132">
        <f>H50*J50</f>
        <v>2.06</v>
      </c>
      <c r="J50" s="133">
        <v>2</v>
      </c>
      <c r="K50" s="132">
        <v>1320</v>
      </c>
      <c r="L50" s="132" t="s">
        <v>61</v>
      </c>
      <c r="M50" s="132">
        <v>630</v>
      </c>
      <c r="N50" s="132" t="s">
        <v>61</v>
      </c>
      <c r="O50" s="132">
        <v>250</v>
      </c>
      <c r="P50" s="132">
        <v>2</v>
      </c>
      <c r="Q50" s="132">
        <f>(K50* M50* O50*P50) / (1000*1000*1000)</f>
        <v>0.42</v>
      </c>
      <c r="R50" s="132" t="s">
        <v>62</v>
      </c>
      <c r="S50" s="132">
        <f>F50*P50</f>
        <v>0</v>
      </c>
      <c r="T50" s="132">
        <f>0*P50</f>
        <v>0</v>
      </c>
      <c r="U50" s="134">
        <v>127.28</v>
      </c>
      <c r="V50" s="81">
        <f>U50*J50</f>
        <v>254.56</v>
      </c>
      <c r="W50" s="82"/>
      <c r="X50" s="83"/>
      <c r="Y50" s="84"/>
      <c r="Z50" s="82"/>
      <c r="AA50" s="84"/>
      <c r="AB50" s="84"/>
      <c r="AC50" s="84"/>
    </row>
    <row r="51" spans="1:29" x14ac:dyDescent="0.25">
      <c r="A51" s="79"/>
      <c r="B51" s="113"/>
      <c r="C51" s="113"/>
      <c r="D51" s="113"/>
      <c r="E51" s="113"/>
      <c r="F51" s="113"/>
      <c r="G51" s="113"/>
      <c r="H51" s="113"/>
      <c r="I51" s="113"/>
      <c r="J51" s="114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5"/>
      <c r="V51" s="80"/>
    </row>
    <row r="52" spans="1:29" x14ac:dyDescent="0.25">
      <c r="A52" s="79" t="s">
        <v>100</v>
      </c>
      <c r="B52" s="131" t="s">
        <v>69</v>
      </c>
      <c r="C52" s="132" t="s">
        <v>65</v>
      </c>
      <c r="D52" s="132" t="s">
        <v>90</v>
      </c>
      <c r="E52" s="132" t="s">
        <v>91</v>
      </c>
      <c r="F52" s="132">
        <v>0</v>
      </c>
      <c r="G52" s="132">
        <f>F52*J52</f>
        <v>0</v>
      </c>
      <c r="H52" s="132">
        <v>1.29</v>
      </c>
      <c r="I52" s="132">
        <f>H52*J52</f>
        <v>6.45</v>
      </c>
      <c r="J52" s="133">
        <v>5</v>
      </c>
      <c r="K52" s="132">
        <v>1620</v>
      </c>
      <c r="L52" s="132" t="s">
        <v>61</v>
      </c>
      <c r="M52" s="132">
        <v>630</v>
      </c>
      <c r="N52" s="132" t="s">
        <v>61</v>
      </c>
      <c r="O52" s="132">
        <v>250</v>
      </c>
      <c r="P52" s="132">
        <v>5</v>
      </c>
      <c r="Q52" s="132">
        <f>(K52* M52* O52*P52) / (1000*1000*1000)</f>
        <v>1.28</v>
      </c>
      <c r="R52" s="132" t="s">
        <v>62</v>
      </c>
      <c r="S52" s="132">
        <f>F52*P52</f>
        <v>0</v>
      </c>
      <c r="T52" s="132">
        <f>0*P52</f>
        <v>0</v>
      </c>
      <c r="U52" s="134">
        <v>144.48000000000002</v>
      </c>
      <c r="V52" s="81">
        <f>U52*J52</f>
        <v>722.4</v>
      </c>
      <c r="W52" s="82"/>
      <c r="X52" s="83"/>
      <c r="Y52" s="84"/>
      <c r="Z52" s="82"/>
      <c r="AA52" s="84"/>
      <c r="AB52" s="84"/>
      <c r="AC52" s="84"/>
    </row>
    <row r="53" spans="1:29" x14ac:dyDescent="0.25">
      <c r="A53" s="79"/>
      <c r="B53" s="113"/>
      <c r="C53" s="113"/>
      <c r="D53" s="113"/>
      <c r="E53" s="113"/>
      <c r="F53" s="113"/>
      <c r="G53" s="113"/>
      <c r="H53" s="113"/>
      <c r="I53" s="113"/>
      <c r="J53" s="114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5"/>
      <c r="V53" s="80"/>
    </row>
    <row r="54" spans="1:29" ht="18.75" x14ac:dyDescent="0.3">
      <c r="A54" s="79"/>
      <c r="B54" s="135" t="s">
        <v>101</v>
      </c>
      <c r="C54" s="113"/>
      <c r="D54" s="113"/>
      <c r="E54" s="113"/>
      <c r="F54" s="113"/>
      <c r="G54" s="113"/>
      <c r="H54" s="113"/>
      <c r="I54" s="113"/>
      <c r="J54" s="114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5"/>
      <c r="V54" s="80"/>
    </row>
    <row r="55" spans="1:29" ht="8.25" customHeight="1" x14ac:dyDescent="0.25">
      <c r="A55" s="79"/>
      <c r="B55" s="113"/>
      <c r="C55" s="113"/>
      <c r="D55" s="113"/>
      <c r="E55" s="113"/>
      <c r="F55" s="113"/>
      <c r="G55" s="113"/>
      <c r="H55" s="113"/>
      <c r="I55" s="113"/>
      <c r="J55" s="114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5"/>
      <c r="V55" s="80"/>
    </row>
    <row r="56" spans="1:29" x14ac:dyDescent="0.25">
      <c r="A56" s="79" t="s">
        <v>102</v>
      </c>
      <c r="B56" s="131" t="s">
        <v>103</v>
      </c>
      <c r="C56" s="132" t="s">
        <v>65</v>
      </c>
      <c r="D56" s="132" t="s">
        <v>104</v>
      </c>
      <c r="E56" s="132" t="s">
        <v>105</v>
      </c>
      <c r="F56" s="132">
        <v>0</v>
      </c>
      <c r="G56" s="132">
        <f>F56*J56</f>
        <v>0</v>
      </c>
      <c r="H56" s="132">
        <v>0.36000000000000004</v>
      </c>
      <c r="I56" s="132">
        <f>H56*J56</f>
        <v>0.36</v>
      </c>
      <c r="J56" s="133">
        <v>1</v>
      </c>
      <c r="K56" s="132">
        <v>700</v>
      </c>
      <c r="L56" s="132" t="s">
        <v>61</v>
      </c>
      <c r="M56" s="132">
        <v>800</v>
      </c>
      <c r="N56" s="132" t="s">
        <v>61</v>
      </c>
      <c r="O56" s="132">
        <v>370</v>
      </c>
      <c r="P56" s="132">
        <v>1</v>
      </c>
      <c r="Q56" s="132">
        <f>(K56* M56* O56*P56) / (1000*1000*1000)</f>
        <v>0.21</v>
      </c>
      <c r="R56" s="132" t="s">
        <v>62</v>
      </c>
      <c r="S56" s="132">
        <f>F56*P56</f>
        <v>0</v>
      </c>
      <c r="T56" s="132">
        <f>0*P56</f>
        <v>0</v>
      </c>
      <c r="U56" s="134">
        <v>146.19999999999999</v>
      </c>
      <c r="V56" s="81">
        <f>U56*J56</f>
        <v>146.19999999999999</v>
      </c>
      <c r="W56" s="82"/>
      <c r="X56" s="83"/>
      <c r="Y56" s="84"/>
      <c r="Z56" s="82"/>
      <c r="AA56" s="84"/>
      <c r="AB56" s="84"/>
      <c r="AC56" s="84"/>
    </row>
    <row r="57" spans="1:29" x14ac:dyDescent="0.25">
      <c r="A57" s="79" t="s">
        <v>106</v>
      </c>
      <c r="B57" s="131" t="s">
        <v>107</v>
      </c>
      <c r="C57" s="132" t="s">
        <v>65</v>
      </c>
      <c r="D57" s="132" t="s">
        <v>108</v>
      </c>
      <c r="E57" s="132" t="s">
        <v>109</v>
      </c>
      <c r="F57" s="132"/>
      <c r="G57" s="132">
        <f>F57*J57</f>
        <v>0</v>
      </c>
      <c r="H57" s="132">
        <v>0.42000000000000004</v>
      </c>
      <c r="I57" s="132">
        <f>H57*J57</f>
        <v>0.42</v>
      </c>
      <c r="J57" s="133">
        <v>1</v>
      </c>
      <c r="K57" s="132"/>
      <c r="L57" s="132" t="s">
        <v>61</v>
      </c>
      <c r="M57" s="132"/>
      <c r="N57" s="132" t="s">
        <v>61</v>
      </c>
      <c r="O57" s="132"/>
      <c r="P57" s="132">
        <v>1</v>
      </c>
      <c r="Q57" s="132">
        <f>(K57* M57* O57*P57) / (1000*1000*1000)</f>
        <v>0</v>
      </c>
      <c r="R57" s="132" t="s">
        <v>62</v>
      </c>
      <c r="S57" s="132">
        <f>F57*P57</f>
        <v>0</v>
      </c>
      <c r="T57" s="132">
        <f>0*P57</f>
        <v>0</v>
      </c>
      <c r="U57" s="134">
        <v>178.02</v>
      </c>
      <c r="V57" s="81">
        <f>U57*J57</f>
        <v>178.02</v>
      </c>
      <c r="W57" s="82"/>
      <c r="X57" s="83"/>
      <c r="Y57" s="84"/>
      <c r="Z57" s="82"/>
      <c r="AA57" s="84"/>
      <c r="AB57" s="84"/>
      <c r="AC57" s="84"/>
    </row>
    <row r="58" spans="1:29" x14ac:dyDescent="0.25">
      <c r="A58" s="79" t="s">
        <v>110</v>
      </c>
      <c r="B58" s="131" t="s">
        <v>111</v>
      </c>
      <c r="C58" s="132" t="s">
        <v>65</v>
      </c>
      <c r="D58" s="132" t="s">
        <v>112</v>
      </c>
      <c r="E58" s="132" t="s">
        <v>113</v>
      </c>
      <c r="F58" s="132">
        <v>0</v>
      </c>
      <c r="G58" s="132">
        <f>F58*J58</f>
        <v>0</v>
      </c>
      <c r="H58" s="132">
        <v>0.95000000000000007</v>
      </c>
      <c r="I58" s="132">
        <f>H58*J58</f>
        <v>0.95</v>
      </c>
      <c r="J58" s="133">
        <v>1</v>
      </c>
      <c r="K58" s="132">
        <v>1700</v>
      </c>
      <c r="L58" s="132" t="s">
        <v>61</v>
      </c>
      <c r="M58" s="132">
        <v>800</v>
      </c>
      <c r="N58" s="132" t="s">
        <v>61</v>
      </c>
      <c r="O58" s="132">
        <v>300</v>
      </c>
      <c r="P58" s="132">
        <v>1</v>
      </c>
      <c r="Q58" s="132">
        <f>(K58* M58* O58*P58) / (1000*1000*1000)</f>
        <v>0.41</v>
      </c>
      <c r="R58" s="132" t="s">
        <v>62</v>
      </c>
      <c r="S58" s="132">
        <f>F58*P58</f>
        <v>0</v>
      </c>
      <c r="T58" s="132">
        <f>0*P58</f>
        <v>0</v>
      </c>
      <c r="U58" s="134">
        <v>161.25</v>
      </c>
      <c r="V58" s="81">
        <f>U58*J58</f>
        <v>161.25</v>
      </c>
      <c r="W58" s="82"/>
      <c r="X58" s="83"/>
      <c r="Y58" s="84"/>
      <c r="Z58" s="82"/>
      <c r="AA58" s="84"/>
      <c r="AB58" s="84"/>
      <c r="AC58" s="84"/>
    </row>
    <row r="59" spans="1:29" x14ac:dyDescent="0.25">
      <c r="A59" s="79" t="s">
        <v>114</v>
      </c>
      <c r="B59" s="131" t="s">
        <v>115</v>
      </c>
      <c r="C59" s="132" t="s">
        <v>65</v>
      </c>
      <c r="D59" s="132" t="s">
        <v>116</v>
      </c>
      <c r="E59" s="132" t="s">
        <v>117</v>
      </c>
      <c r="F59" s="132"/>
      <c r="G59" s="132">
        <f>F59*J59</f>
        <v>0</v>
      </c>
      <c r="H59" s="132">
        <v>1.07</v>
      </c>
      <c r="I59" s="132">
        <f>H59*J59</f>
        <v>1.07</v>
      </c>
      <c r="J59" s="133">
        <v>1</v>
      </c>
      <c r="K59" s="132"/>
      <c r="L59" s="132" t="s">
        <v>61</v>
      </c>
      <c r="M59" s="132"/>
      <c r="N59" s="132" t="s">
        <v>61</v>
      </c>
      <c r="O59" s="132"/>
      <c r="P59" s="132">
        <v>1</v>
      </c>
      <c r="Q59" s="132">
        <f>(K59* M59* O59*P59) / (1000*1000*1000)</f>
        <v>0</v>
      </c>
      <c r="R59" s="132" t="s">
        <v>62</v>
      </c>
      <c r="S59" s="132">
        <f>F59*P59</f>
        <v>0</v>
      </c>
      <c r="T59" s="132">
        <f>0*P59</f>
        <v>0</v>
      </c>
      <c r="U59" s="134">
        <v>255.39000000000001</v>
      </c>
      <c r="V59" s="81">
        <f>U59*J59</f>
        <v>255.39</v>
      </c>
      <c r="W59" s="82"/>
      <c r="X59" s="83"/>
      <c r="Y59" s="84"/>
      <c r="Z59" s="82"/>
      <c r="AA59" s="84"/>
      <c r="AB59" s="84"/>
      <c r="AC59" s="84"/>
    </row>
    <row r="60" spans="1:29" x14ac:dyDescent="0.25">
      <c r="A60" s="79" t="s">
        <v>118</v>
      </c>
      <c r="B60" s="131" t="s">
        <v>119</v>
      </c>
      <c r="C60" s="132" t="s">
        <v>65</v>
      </c>
      <c r="D60" s="132" t="s">
        <v>120</v>
      </c>
      <c r="E60" s="132" t="s">
        <v>121</v>
      </c>
      <c r="F60" s="132">
        <v>121</v>
      </c>
      <c r="G60" s="132">
        <f>F60*J60</f>
        <v>121</v>
      </c>
      <c r="H60" s="132">
        <v>0.78</v>
      </c>
      <c r="I60" s="132">
        <f>H60*J60</f>
        <v>0.78</v>
      </c>
      <c r="J60" s="133">
        <v>1</v>
      </c>
      <c r="K60" s="132">
        <v>891</v>
      </c>
      <c r="L60" s="132" t="s">
        <v>61</v>
      </c>
      <c r="M60" s="132">
        <v>1215</v>
      </c>
      <c r="N60" s="132" t="s">
        <v>61</v>
      </c>
      <c r="O60" s="132">
        <v>1032</v>
      </c>
      <c r="P60" s="132">
        <v>1</v>
      </c>
      <c r="Q60" s="132">
        <f>(K60* M60* O60*P60) / (1000*1000*1000)</f>
        <v>1.1200000000000001</v>
      </c>
      <c r="R60" s="132" t="s">
        <v>62</v>
      </c>
      <c r="S60" s="132">
        <f>F60*P60</f>
        <v>121</v>
      </c>
      <c r="T60" s="132">
        <f>131*P60</f>
        <v>131</v>
      </c>
      <c r="U60" s="134">
        <v>748.2</v>
      </c>
      <c r="V60" s="81">
        <f>U60*J60</f>
        <v>748.2</v>
      </c>
      <c r="W60" s="82"/>
      <c r="X60" s="83"/>
      <c r="Y60" s="84"/>
      <c r="Z60" s="82"/>
      <c r="AA60" s="84"/>
      <c r="AB60" s="84"/>
      <c r="AC60" s="84"/>
    </row>
    <row r="61" spans="1:29" x14ac:dyDescent="0.25">
      <c r="A61" s="79" t="s">
        <v>122</v>
      </c>
      <c r="B61" s="131" t="s">
        <v>123</v>
      </c>
      <c r="C61" s="132" t="s">
        <v>65</v>
      </c>
      <c r="D61" s="132" t="s">
        <v>124</v>
      </c>
      <c r="E61" s="132" t="s">
        <v>125</v>
      </c>
      <c r="F61" s="132">
        <v>9</v>
      </c>
      <c r="G61" s="132">
        <f>F61*J61</f>
        <v>9</v>
      </c>
      <c r="H61" s="132">
        <v>0.04</v>
      </c>
      <c r="I61" s="132">
        <f>H61*J61</f>
        <v>0.04</v>
      </c>
      <c r="J61" s="133">
        <v>1</v>
      </c>
      <c r="K61" s="132">
        <v>652</v>
      </c>
      <c r="L61" s="132" t="s">
        <v>61</v>
      </c>
      <c r="M61" s="132">
        <v>231</v>
      </c>
      <c r="N61" s="132" t="s">
        <v>61</v>
      </c>
      <c r="O61" s="132">
        <v>720</v>
      </c>
      <c r="P61" s="132">
        <v>1</v>
      </c>
      <c r="Q61" s="132">
        <f>(K61* M61* O61*P61) / (1000*1000*1000)</f>
        <v>0.11</v>
      </c>
      <c r="R61" s="132" t="s">
        <v>62</v>
      </c>
      <c r="S61" s="132">
        <f>F61*P61</f>
        <v>9</v>
      </c>
      <c r="T61" s="132">
        <f>14*P61</f>
        <v>14</v>
      </c>
      <c r="U61" s="134">
        <v>73.099999999999994</v>
      </c>
      <c r="V61" s="81">
        <f>U61*J61</f>
        <v>73.099999999999994</v>
      </c>
      <c r="W61" s="82"/>
      <c r="X61" s="83"/>
      <c r="Y61" s="84"/>
      <c r="Z61" s="82"/>
      <c r="AA61" s="84"/>
      <c r="AB61" s="84"/>
      <c r="AC61" s="84"/>
    </row>
    <row r="62" spans="1:29" ht="18.75" x14ac:dyDescent="0.3">
      <c r="A62" s="79"/>
      <c r="B62" s="135" t="s">
        <v>126</v>
      </c>
      <c r="C62" s="113"/>
      <c r="D62" s="113"/>
      <c r="E62" s="113"/>
      <c r="F62" s="113"/>
      <c r="G62" s="113"/>
      <c r="H62" s="113"/>
      <c r="I62" s="113"/>
      <c r="J62" s="114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5"/>
      <c r="V62" s="80"/>
    </row>
    <row r="63" spans="1:29" ht="6.75" customHeight="1" x14ac:dyDescent="0.25">
      <c r="A63" s="79"/>
      <c r="B63" s="113"/>
      <c r="C63" s="113"/>
      <c r="D63" s="113"/>
      <c r="E63" s="113"/>
      <c r="F63" s="113"/>
      <c r="G63" s="113"/>
      <c r="H63" s="113"/>
      <c r="I63" s="113"/>
      <c r="J63" s="114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5"/>
      <c r="V63" s="80"/>
    </row>
    <row r="64" spans="1:29" x14ac:dyDescent="0.25">
      <c r="A64" s="79" t="s">
        <v>127</v>
      </c>
      <c r="B64" s="131" t="s">
        <v>111</v>
      </c>
      <c r="C64" s="132" t="s">
        <v>65</v>
      </c>
      <c r="D64" s="132" t="s">
        <v>128</v>
      </c>
      <c r="E64" s="132" t="s">
        <v>129</v>
      </c>
      <c r="F64" s="132">
        <v>0</v>
      </c>
      <c r="G64" s="132">
        <f>F64*J64</f>
        <v>0</v>
      </c>
      <c r="H64" s="132">
        <v>0.71000000000000008</v>
      </c>
      <c r="I64" s="132">
        <f>H64*J64</f>
        <v>1.42</v>
      </c>
      <c r="J64" s="133">
        <v>2</v>
      </c>
      <c r="K64" s="132">
        <v>1300</v>
      </c>
      <c r="L64" s="132" t="s">
        <v>61</v>
      </c>
      <c r="M64" s="132">
        <v>800</v>
      </c>
      <c r="N64" s="132" t="s">
        <v>61</v>
      </c>
      <c r="O64" s="132">
        <v>300</v>
      </c>
      <c r="P64" s="132">
        <v>2</v>
      </c>
      <c r="Q64" s="132">
        <f>(K64* M64* O64*P64) / (1000*1000*1000)</f>
        <v>0.62</v>
      </c>
      <c r="R64" s="132" t="s">
        <v>62</v>
      </c>
      <c r="S64" s="132">
        <f>F64*P64</f>
        <v>0</v>
      </c>
      <c r="T64" s="132">
        <f>0*P64</f>
        <v>0</v>
      </c>
      <c r="U64" s="134">
        <v>129</v>
      </c>
      <c r="V64" s="81">
        <f>U64*J64</f>
        <v>258</v>
      </c>
      <c r="W64" s="82"/>
      <c r="X64" s="83"/>
      <c r="Y64" s="84"/>
      <c r="Z64" s="82"/>
      <c r="AA64" s="84"/>
      <c r="AB64" s="84"/>
      <c r="AC64" s="84"/>
    </row>
    <row r="65" spans="1:29" x14ac:dyDescent="0.25">
      <c r="A65" s="79" t="s">
        <v>130</v>
      </c>
      <c r="B65" s="131" t="s">
        <v>131</v>
      </c>
      <c r="C65" s="132" t="s">
        <v>65</v>
      </c>
      <c r="D65" s="132" t="s">
        <v>132</v>
      </c>
      <c r="E65" s="132" t="s">
        <v>133</v>
      </c>
      <c r="F65" s="132">
        <v>0</v>
      </c>
      <c r="G65" s="132">
        <f>F65*J65</f>
        <v>0</v>
      </c>
      <c r="H65" s="132">
        <v>0.83000000000000007</v>
      </c>
      <c r="I65" s="132">
        <f>H65*J65</f>
        <v>0.83</v>
      </c>
      <c r="J65" s="133">
        <v>1</v>
      </c>
      <c r="K65" s="132">
        <v>1500</v>
      </c>
      <c r="L65" s="132" t="s">
        <v>61</v>
      </c>
      <c r="M65" s="132">
        <v>800</v>
      </c>
      <c r="N65" s="132" t="s">
        <v>61</v>
      </c>
      <c r="O65" s="132">
        <v>370</v>
      </c>
      <c r="P65" s="132">
        <v>1</v>
      </c>
      <c r="Q65" s="132">
        <f>(K65* M65* O65*P65) / (1000*1000*1000)</f>
        <v>0.44</v>
      </c>
      <c r="R65" s="132" t="s">
        <v>62</v>
      </c>
      <c r="S65" s="132">
        <f>F65*P65</f>
        <v>0</v>
      </c>
      <c r="T65" s="132">
        <f>0*P65</f>
        <v>0</v>
      </c>
      <c r="U65" s="134">
        <v>268.75</v>
      </c>
      <c r="V65" s="81">
        <f>U65*J65</f>
        <v>268.75</v>
      </c>
      <c r="W65" s="82"/>
      <c r="X65" s="83"/>
      <c r="Y65" s="84"/>
      <c r="Z65" s="82"/>
      <c r="AA65" s="84"/>
      <c r="AB65" s="84"/>
      <c r="AC65" s="84"/>
    </row>
    <row r="66" spans="1:29" x14ac:dyDescent="0.25">
      <c r="A66" s="79" t="s">
        <v>134</v>
      </c>
      <c r="B66" s="131" t="s">
        <v>135</v>
      </c>
      <c r="C66" s="132" t="s">
        <v>65</v>
      </c>
      <c r="D66" s="132" t="s">
        <v>136</v>
      </c>
      <c r="E66" s="132" t="s">
        <v>113</v>
      </c>
      <c r="F66" s="132"/>
      <c r="G66" s="132">
        <f>F66*J66</f>
        <v>0</v>
      </c>
      <c r="H66" s="132">
        <v>0.95000000000000007</v>
      </c>
      <c r="I66" s="132">
        <f>H66*J66</f>
        <v>0.95</v>
      </c>
      <c r="J66" s="133">
        <v>1</v>
      </c>
      <c r="K66" s="132"/>
      <c r="L66" s="132" t="s">
        <v>61</v>
      </c>
      <c r="M66" s="132"/>
      <c r="N66" s="132" t="s">
        <v>61</v>
      </c>
      <c r="O66" s="132"/>
      <c r="P66" s="132">
        <v>1</v>
      </c>
      <c r="Q66" s="132">
        <f>(K66* M66* O66*P66) / (1000*1000*1000)</f>
        <v>0</v>
      </c>
      <c r="R66" s="132" t="s">
        <v>62</v>
      </c>
      <c r="S66" s="132">
        <f>F66*P66</f>
        <v>0</v>
      </c>
      <c r="T66" s="132">
        <f>0*P66</f>
        <v>0</v>
      </c>
      <c r="U66" s="134">
        <v>341.85</v>
      </c>
      <c r="V66" s="81">
        <f>U66*J66</f>
        <v>341.85</v>
      </c>
      <c r="W66" s="82"/>
      <c r="X66" s="83"/>
      <c r="Y66" s="84"/>
      <c r="Z66" s="82"/>
      <c r="AA66" s="84"/>
      <c r="AB66" s="84"/>
      <c r="AC66" s="84"/>
    </row>
    <row r="67" spans="1:29" x14ac:dyDescent="0.25">
      <c r="A67" s="79" t="s">
        <v>137</v>
      </c>
      <c r="B67" s="131" t="s">
        <v>138</v>
      </c>
      <c r="C67" s="132" t="s">
        <v>65</v>
      </c>
      <c r="D67" s="132" t="s">
        <v>139</v>
      </c>
      <c r="E67" s="132" t="s">
        <v>140</v>
      </c>
      <c r="F67" s="132">
        <v>29</v>
      </c>
      <c r="G67" s="132">
        <f>F67*J67</f>
        <v>29</v>
      </c>
      <c r="H67" s="132">
        <v>0.08</v>
      </c>
      <c r="I67" s="132">
        <f>H67*J67</f>
        <v>0.08</v>
      </c>
      <c r="J67" s="133">
        <v>1</v>
      </c>
      <c r="K67" s="132">
        <v>535</v>
      </c>
      <c r="L67" s="132" t="s">
        <v>61</v>
      </c>
      <c r="M67" s="132">
        <v>400</v>
      </c>
      <c r="N67" s="132" t="s">
        <v>61</v>
      </c>
      <c r="O67" s="132">
        <v>800</v>
      </c>
      <c r="P67" s="132">
        <v>1</v>
      </c>
      <c r="Q67" s="132">
        <f>(K67* M67* O67*P67) / (1000*1000*1000)</f>
        <v>0.17</v>
      </c>
      <c r="R67" s="132" t="s">
        <v>62</v>
      </c>
      <c r="S67" s="132">
        <f>F67*P67</f>
        <v>29</v>
      </c>
      <c r="T67" s="132">
        <f>34*P67</f>
        <v>34</v>
      </c>
      <c r="U67" s="134">
        <v>430</v>
      </c>
      <c r="V67" s="81">
        <f>U67*J67</f>
        <v>430</v>
      </c>
      <c r="W67" s="82"/>
      <c r="X67" s="83"/>
      <c r="Y67" s="84"/>
      <c r="Z67" s="82"/>
      <c r="AA67" s="84"/>
      <c r="AB67" s="84"/>
      <c r="AC67" s="84"/>
    </row>
    <row r="68" spans="1:29" x14ac:dyDescent="0.25">
      <c r="A68" s="79" t="s">
        <v>141</v>
      </c>
      <c r="B68" s="131" t="s">
        <v>142</v>
      </c>
      <c r="C68" s="132" t="s">
        <v>65</v>
      </c>
      <c r="D68" s="132" t="s">
        <v>143</v>
      </c>
      <c r="E68" s="132" t="s">
        <v>117</v>
      </c>
      <c r="F68" s="132"/>
      <c r="G68" s="132">
        <f>F68*J68</f>
        <v>0</v>
      </c>
      <c r="H68" s="132">
        <v>1.07</v>
      </c>
      <c r="I68" s="132">
        <f>H68*J68</f>
        <v>1.07</v>
      </c>
      <c r="J68" s="133">
        <v>1</v>
      </c>
      <c r="K68" s="132"/>
      <c r="L68" s="132" t="s">
        <v>61</v>
      </c>
      <c r="M68" s="132"/>
      <c r="N68" s="132" t="s">
        <v>61</v>
      </c>
      <c r="O68" s="132"/>
      <c r="P68" s="132">
        <v>1</v>
      </c>
      <c r="Q68" s="132">
        <f>(K68* M68* O68*P68) / (1000*1000*1000)</f>
        <v>0</v>
      </c>
      <c r="R68" s="132" t="s">
        <v>62</v>
      </c>
      <c r="S68" s="132">
        <f>F68*P68</f>
        <v>0</v>
      </c>
      <c r="T68" s="132">
        <f>0*P68</f>
        <v>0</v>
      </c>
      <c r="U68" s="134">
        <v>451.53</v>
      </c>
      <c r="V68" s="81">
        <f>U68*J68</f>
        <v>451.53</v>
      </c>
      <c r="W68" s="82"/>
      <c r="X68" s="83"/>
      <c r="Y68" s="84"/>
      <c r="Z68" s="82"/>
      <c r="AA68" s="84"/>
      <c r="AB68" s="84"/>
      <c r="AC68" s="84"/>
    </row>
    <row r="69" spans="1:29" x14ac:dyDescent="0.25">
      <c r="A69" s="79" t="s">
        <v>144</v>
      </c>
      <c r="B69" s="131" t="s">
        <v>111</v>
      </c>
      <c r="C69" s="132" t="s">
        <v>65</v>
      </c>
      <c r="D69" s="132" t="s">
        <v>145</v>
      </c>
      <c r="E69" s="132" t="s">
        <v>117</v>
      </c>
      <c r="F69" s="132">
        <v>0</v>
      </c>
      <c r="G69" s="132">
        <f>F69*J69</f>
        <v>0</v>
      </c>
      <c r="H69" s="132">
        <v>1.07</v>
      </c>
      <c r="I69" s="132">
        <f>H69*J69</f>
        <v>1.07</v>
      </c>
      <c r="J69" s="133">
        <v>1</v>
      </c>
      <c r="K69" s="132">
        <v>1900</v>
      </c>
      <c r="L69" s="132" t="s">
        <v>61</v>
      </c>
      <c r="M69" s="132">
        <v>800</v>
      </c>
      <c r="N69" s="132" t="s">
        <v>61</v>
      </c>
      <c r="O69" s="132">
        <v>300</v>
      </c>
      <c r="P69" s="132">
        <v>1</v>
      </c>
      <c r="Q69" s="132">
        <f>(K69* M69* O69*P69) / (1000*1000*1000)</f>
        <v>0.46</v>
      </c>
      <c r="R69" s="132" t="s">
        <v>62</v>
      </c>
      <c r="S69" s="132">
        <f>F69*P69</f>
        <v>0</v>
      </c>
      <c r="T69" s="132">
        <f>0*P69</f>
        <v>0</v>
      </c>
      <c r="U69" s="134">
        <v>176.3</v>
      </c>
      <c r="V69" s="81">
        <f>U69*J69</f>
        <v>176.3</v>
      </c>
      <c r="W69" s="82"/>
      <c r="X69" s="83"/>
      <c r="Y69" s="84"/>
      <c r="Z69" s="82"/>
      <c r="AA69" s="84"/>
      <c r="AB69" s="84"/>
      <c r="AC69" s="84"/>
    </row>
    <row r="70" spans="1:29" ht="15.75" thickBot="1" x14ac:dyDescent="0.3">
      <c r="A70" s="136" t="s">
        <v>146</v>
      </c>
      <c r="B70" s="147" t="s">
        <v>123</v>
      </c>
      <c r="C70" s="148" t="s">
        <v>65</v>
      </c>
      <c r="D70" s="148" t="s">
        <v>124</v>
      </c>
      <c r="E70" s="148" t="s">
        <v>125</v>
      </c>
      <c r="F70" s="148">
        <v>9</v>
      </c>
      <c r="G70" s="148">
        <f>F70*J70</f>
        <v>9</v>
      </c>
      <c r="H70" s="148">
        <v>0.04</v>
      </c>
      <c r="I70" s="148">
        <f>H70*J70</f>
        <v>0.04</v>
      </c>
      <c r="J70" s="149">
        <v>1</v>
      </c>
      <c r="K70" s="148">
        <v>652</v>
      </c>
      <c r="L70" s="148" t="s">
        <v>61</v>
      </c>
      <c r="M70" s="148">
        <v>231</v>
      </c>
      <c r="N70" s="148" t="s">
        <v>61</v>
      </c>
      <c r="O70" s="148">
        <v>720</v>
      </c>
      <c r="P70" s="148">
        <v>1</v>
      </c>
      <c r="Q70" s="148">
        <f>(K70* M70* O70*P70) / (1000*1000*1000)</f>
        <v>0.11</v>
      </c>
      <c r="R70" s="148" t="s">
        <v>62</v>
      </c>
      <c r="S70" s="148">
        <f>F70*P70</f>
        <v>9</v>
      </c>
      <c r="T70" s="148">
        <f>14*P70</f>
        <v>14</v>
      </c>
      <c r="U70" s="150">
        <v>73.099999999999994</v>
      </c>
      <c r="V70" s="151">
        <f>U70*J70</f>
        <v>73.099999999999994</v>
      </c>
      <c r="W70" s="82"/>
      <c r="X70" s="83"/>
      <c r="Y70" s="84"/>
      <c r="Z70" s="82"/>
      <c r="AA70" s="84"/>
      <c r="AB70" s="84"/>
      <c r="AC70" s="84"/>
    </row>
    <row r="71" spans="1:29" x14ac:dyDescent="0.25">
      <c r="A71" s="141"/>
      <c r="B71" s="143"/>
      <c r="C71" s="143"/>
      <c r="D71" s="143"/>
      <c r="E71" s="143"/>
      <c r="F71" s="143"/>
      <c r="G71" s="143"/>
      <c r="H71" s="143"/>
      <c r="I71" s="143"/>
      <c r="J71" s="144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5"/>
      <c r="V71" s="146"/>
    </row>
    <row r="72" spans="1:29" ht="18.75" x14ac:dyDescent="0.3">
      <c r="A72" s="79"/>
      <c r="B72" s="135" t="s">
        <v>147</v>
      </c>
      <c r="C72" s="113"/>
      <c r="D72" s="113"/>
      <c r="E72" s="113"/>
      <c r="F72" s="113"/>
      <c r="G72" s="113"/>
      <c r="H72" s="113"/>
      <c r="I72" s="113"/>
      <c r="J72" s="114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5"/>
      <c r="V72" s="80"/>
    </row>
    <row r="73" spans="1:29" x14ac:dyDescent="0.25">
      <c r="A73" s="79"/>
      <c r="B73" s="113"/>
      <c r="C73" s="113"/>
      <c r="D73" s="113"/>
      <c r="E73" s="113"/>
      <c r="F73" s="113"/>
      <c r="G73" s="113"/>
      <c r="H73" s="113"/>
      <c r="I73" s="113"/>
      <c r="J73" s="114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5"/>
      <c r="V73" s="80"/>
    </row>
    <row r="74" spans="1:29" x14ac:dyDescent="0.25">
      <c r="A74" s="79" t="s">
        <v>148</v>
      </c>
      <c r="B74" s="131" t="s">
        <v>111</v>
      </c>
      <c r="C74" s="132" t="s">
        <v>65</v>
      </c>
      <c r="D74" s="132" t="s">
        <v>112</v>
      </c>
      <c r="E74" s="132" t="s">
        <v>113</v>
      </c>
      <c r="F74" s="132">
        <v>0</v>
      </c>
      <c r="G74" s="132">
        <f>F74*J74</f>
        <v>0</v>
      </c>
      <c r="H74" s="132">
        <v>0.95000000000000007</v>
      </c>
      <c r="I74" s="132">
        <f>H74*J74</f>
        <v>1.9</v>
      </c>
      <c r="J74" s="133">
        <v>2</v>
      </c>
      <c r="K74" s="132">
        <v>1700</v>
      </c>
      <c r="L74" s="132" t="s">
        <v>61</v>
      </c>
      <c r="M74" s="132">
        <v>800</v>
      </c>
      <c r="N74" s="132" t="s">
        <v>61</v>
      </c>
      <c r="O74" s="132">
        <v>300</v>
      </c>
      <c r="P74" s="132">
        <v>2</v>
      </c>
      <c r="Q74" s="132">
        <f>(K74* M74* O74*P74) / (1000*1000*1000)</f>
        <v>0.82</v>
      </c>
      <c r="R74" s="132" t="s">
        <v>62</v>
      </c>
      <c r="S74" s="132">
        <f>F74*P74</f>
        <v>0</v>
      </c>
      <c r="T74" s="132">
        <f>0*P74</f>
        <v>0</v>
      </c>
      <c r="U74" s="134">
        <v>161.25</v>
      </c>
      <c r="V74" s="81">
        <f>U74*J74</f>
        <v>322.5</v>
      </c>
      <c r="W74" s="82"/>
      <c r="X74" s="83"/>
      <c r="Y74" s="84"/>
      <c r="Z74" s="82"/>
      <c r="AA74" s="84"/>
      <c r="AB74" s="84"/>
      <c r="AC74" s="84"/>
    </row>
    <row r="75" spans="1:29" x14ac:dyDescent="0.25">
      <c r="A75" s="79" t="s">
        <v>149</v>
      </c>
      <c r="B75" s="131" t="s">
        <v>150</v>
      </c>
      <c r="C75" s="132" t="s">
        <v>65</v>
      </c>
      <c r="D75" s="132" t="s">
        <v>151</v>
      </c>
      <c r="E75" s="132" t="s">
        <v>133</v>
      </c>
      <c r="F75" s="132"/>
      <c r="G75" s="132">
        <f>F75*J75</f>
        <v>0</v>
      </c>
      <c r="H75" s="132">
        <v>0.83000000000000007</v>
      </c>
      <c r="I75" s="132">
        <f>H75*J75</f>
        <v>0.83</v>
      </c>
      <c r="J75" s="133">
        <v>1</v>
      </c>
      <c r="K75" s="132"/>
      <c r="L75" s="132" t="s">
        <v>61</v>
      </c>
      <c r="M75" s="132"/>
      <c r="N75" s="132" t="s">
        <v>61</v>
      </c>
      <c r="O75" s="132"/>
      <c r="P75" s="132">
        <v>1</v>
      </c>
      <c r="Q75" s="132">
        <f>(K75* M75* O75*P75) / (1000*1000*1000)</f>
        <v>0</v>
      </c>
      <c r="R75" s="132" t="s">
        <v>62</v>
      </c>
      <c r="S75" s="132">
        <f>F75*P75</f>
        <v>0</v>
      </c>
      <c r="T75" s="132">
        <f>0*P75</f>
        <v>0</v>
      </c>
      <c r="U75" s="134">
        <v>296.7</v>
      </c>
      <c r="V75" s="81">
        <f>U75*J75</f>
        <v>296.7</v>
      </c>
      <c r="W75" s="82"/>
      <c r="X75" s="83"/>
      <c r="Y75" s="84"/>
      <c r="Z75" s="82"/>
      <c r="AA75" s="84"/>
      <c r="AB75" s="84"/>
      <c r="AC75" s="84"/>
    </row>
    <row r="76" spans="1:29" x14ac:dyDescent="0.25">
      <c r="A76" s="79" t="s">
        <v>152</v>
      </c>
      <c r="B76" s="131" t="s">
        <v>73</v>
      </c>
      <c r="C76" s="132" t="s">
        <v>58</v>
      </c>
      <c r="D76" s="132" t="s">
        <v>74</v>
      </c>
      <c r="E76" s="132" t="s">
        <v>75</v>
      </c>
      <c r="F76" s="132"/>
      <c r="G76" s="132">
        <f>F76*J76</f>
        <v>0</v>
      </c>
      <c r="H76" s="132"/>
      <c r="I76" s="132">
        <f>H76*J76</f>
        <v>0</v>
      </c>
      <c r="J76" s="133">
        <v>1</v>
      </c>
      <c r="K76" s="132"/>
      <c r="L76" s="132" t="s">
        <v>61</v>
      </c>
      <c r="M76" s="132"/>
      <c r="N76" s="132" t="s">
        <v>61</v>
      </c>
      <c r="O76" s="132"/>
      <c r="P76" s="132">
        <v>1</v>
      </c>
      <c r="Q76" s="132">
        <f>(K76* M76* O76*P76) / (1000*1000*1000)</f>
        <v>0</v>
      </c>
      <c r="R76" s="132" t="s">
        <v>62</v>
      </c>
      <c r="S76" s="132">
        <f>F76*P76</f>
        <v>0</v>
      </c>
      <c r="T76" s="132">
        <f>0*P76</f>
        <v>0</v>
      </c>
      <c r="U76" s="134">
        <v>21.54</v>
      </c>
      <c r="V76" s="81">
        <f>U76*J76</f>
        <v>21.54</v>
      </c>
      <c r="W76" s="82"/>
      <c r="X76" s="83"/>
      <c r="Y76" s="84"/>
      <c r="Z76" s="82"/>
      <c r="AA76" s="84"/>
      <c r="AB76" s="84"/>
      <c r="AC76" s="84"/>
    </row>
    <row r="77" spans="1:29" ht="18.75" x14ac:dyDescent="0.3">
      <c r="A77" s="79"/>
      <c r="B77" s="135" t="s">
        <v>153</v>
      </c>
      <c r="C77" s="113"/>
      <c r="D77" s="113"/>
      <c r="E77" s="113"/>
      <c r="F77" s="113"/>
      <c r="G77" s="113"/>
      <c r="H77" s="113"/>
      <c r="I77" s="113"/>
      <c r="J77" s="114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5"/>
      <c r="V77" s="80"/>
    </row>
    <row r="78" spans="1:29" x14ac:dyDescent="0.25">
      <c r="A78" s="79"/>
      <c r="B78" s="113"/>
      <c r="C78" s="113"/>
      <c r="D78" s="113"/>
      <c r="E78" s="113"/>
      <c r="F78" s="113"/>
      <c r="G78" s="113"/>
      <c r="H78" s="113"/>
      <c r="I78" s="113"/>
      <c r="J78" s="114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5"/>
      <c r="V78" s="80"/>
    </row>
    <row r="79" spans="1:29" x14ac:dyDescent="0.25">
      <c r="A79" s="79" t="s">
        <v>154</v>
      </c>
      <c r="B79" s="131" t="s">
        <v>155</v>
      </c>
      <c r="C79" s="132" t="s">
        <v>65</v>
      </c>
      <c r="D79" s="132" t="s">
        <v>156</v>
      </c>
      <c r="E79" s="132" t="s">
        <v>157</v>
      </c>
      <c r="F79" s="132">
        <v>60</v>
      </c>
      <c r="G79" s="132">
        <f>F79*J79</f>
        <v>600</v>
      </c>
      <c r="H79" s="132">
        <v>0.24000000000000002</v>
      </c>
      <c r="I79" s="132">
        <f>H79*J79</f>
        <v>2.4</v>
      </c>
      <c r="J79" s="133">
        <v>10</v>
      </c>
      <c r="K79" s="132">
        <v>700</v>
      </c>
      <c r="L79" s="132" t="s">
        <v>61</v>
      </c>
      <c r="M79" s="132">
        <v>900</v>
      </c>
      <c r="N79" s="132" t="s">
        <v>61</v>
      </c>
      <c r="O79" s="132">
        <v>650</v>
      </c>
      <c r="P79" s="132">
        <v>10</v>
      </c>
      <c r="Q79" s="132">
        <f>(K79* M79* O79*P79) / (1000*1000*1000)</f>
        <v>4.0999999999999996</v>
      </c>
      <c r="R79" s="132" t="s">
        <v>62</v>
      </c>
      <c r="S79" s="132">
        <f>F79*P79</f>
        <v>600</v>
      </c>
      <c r="T79" s="132">
        <f>70*P79</f>
        <v>700</v>
      </c>
      <c r="U79" s="134">
        <v>225.75</v>
      </c>
      <c r="V79" s="81">
        <f>U79*J79</f>
        <v>2257.5</v>
      </c>
      <c r="W79" s="82"/>
      <c r="X79" s="83"/>
      <c r="Y79" s="84"/>
      <c r="Z79" s="82"/>
      <c r="AA79" s="84"/>
      <c r="AB79" s="84"/>
      <c r="AC79" s="84"/>
    </row>
    <row r="80" spans="1:29" x14ac:dyDescent="0.25">
      <c r="A80" s="79" t="s">
        <v>158</v>
      </c>
      <c r="B80" s="131" t="s">
        <v>159</v>
      </c>
      <c r="C80" s="132" t="s">
        <v>65</v>
      </c>
      <c r="D80" s="132" t="s">
        <v>160</v>
      </c>
      <c r="E80" s="132" t="s">
        <v>161</v>
      </c>
      <c r="F80" s="132"/>
      <c r="G80" s="132">
        <f>F80*J80</f>
        <v>0</v>
      </c>
      <c r="H80" s="132">
        <v>3.75</v>
      </c>
      <c r="I80" s="132">
        <f>H80*J80</f>
        <v>7.5</v>
      </c>
      <c r="J80" s="133">
        <v>2</v>
      </c>
      <c r="K80" s="132"/>
      <c r="L80" s="132" t="s">
        <v>61</v>
      </c>
      <c r="M80" s="132"/>
      <c r="N80" s="132" t="s">
        <v>61</v>
      </c>
      <c r="O80" s="132"/>
      <c r="P80" s="132">
        <v>2</v>
      </c>
      <c r="Q80" s="132">
        <f>(K80* M80* O80*P80) / (1000*1000*1000)</f>
        <v>0</v>
      </c>
      <c r="R80" s="132" t="s">
        <v>62</v>
      </c>
      <c r="S80" s="132">
        <f>F80*P80</f>
        <v>0</v>
      </c>
      <c r="T80" s="132">
        <f>0*P80</f>
        <v>0</v>
      </c>
      <c r="U80" s="134">
        <v>904.29000000000008</v>
      </c>
      <c r="V80" s="81">
        <f>U80*J80</f>
        <v>1808.58</v>
      </c>
      <c r="W80" s="82"/>
      <c r="X80" s="83"/>
      <c r="Y80" s="84"/>
      <c r="Z80" s="82"/>
      <c r="AA80" s="84"/>
      <c r="AB80" s="84"/>
      <c r="AC80" s="84"/>
    </row>
    <row r="81" spans="1:29" x14ac:dyDescent="0.25">
      <c r="A81" s="79" t="s">
        <v>162</v>
      </c>
      <c r="B81" s="131" t="s">
        <v>163</v>
      </c>
      <c r="C81" s="132" t="s">
        <v>65</v>
      </c>
      <c r="D81" s="132" t="s">
        <v>164</v>
      </c>
      <c r="E81" s="132" t="s">
        <v>165</v>
      </c>
      <c r="F81" s="132"/>
      <c r="G81" s="132">
        <f>F81*J81</f>
        <v>0</v>
      </c>
      <c r="H81" s="132">
        <v>2.63</v>
      </c>
      <c r="I81" s="132">
        <f>H81*J81</f>
        <v>2.63</v>
      </c>
      <c r="J81" s="133">
        <v>1</v>
      </c>
      <c r="K81" s="132"/>
      <c r="L81" s="132" t="s">
        <v>61</v>
      </c>
      <c r="M81" s="132"/>
      <c r="N81" s="132" t="s">
        <v>61</v>
      </c>
      <c r="O81" s="132"/>
      <c r="P81" s="132">
        <v>1</v>
      </c>
      <c r="Q81" s="132">
        <f>(K81* M81* O81*P81) / (1000*1000*1000)</f>
        <v>0</v>
      </c>
      <c r="R81" s="132" t="s">
        <v>62</v>
      </c>
      <c r="S81" s="132">
        <f>F81*P81</f>
        <v>0</v>
      </c>
      <c r="T81" s="132">
        <f>0*P81</f>
        <v>0</v>
      </c>
      <c r="U81" s="134">
        <v>668.22</v>
      </c>
      <c r="V81" s="81">
        <f>U81*J81</f>
        <v>668.22</v>
      </c>
      <c r="W81" s="82"/>
      <c r="X81" s="83"/>
      <c r="Y81" s="84"/>
      <c r="Z81" s="82"/>
      <c r="AA81" s="84"/>
      <c r="AB81" s="84"/>
      <c r="AC81" s="84"/>
    </row>
    <row r="82" spans="1:29" x14ac:dyDescent="0.25">
      <c r="A82" s="79" t="s">
        <v>166</v>
      </c>
      <c r="B82" s="131" t="s">
        <v>167</v>
      </c>
      <c r="C82" s="132" t="s">
        <v>65</v>
      </c>
      <c r="D82" s="132" t="s">
        <v>168</v>
      </c>
      <c r="E82" s="132" t="s">
        <v>117</v>
      </c>
      <c r="F82" s="132">
        <v>0</v>
      </c>
      <c r="G82" s="132">
        <f>F82*J82</f>
        <v>0</v>
      </c>
      <c r="H82" s="132">
        <v>1.07</v>
      </c>
      <c r="I82" s="132">
        <f>H82*J82</f>
        <v>1.07</v>
      </c>
      <c r="J82" s="133">
        <v>1</v>
      </c>
      <c r="K82" s="132">
        <v>1900</v>
      </c>
      <c r="L82" s="132" t="s">
        <v>61</v>
      </c>
      <c r="M82" s="132">
        <v>800</v>
      </c>
      <c r="N82" s="132" t="s">
        <v>61</v>
      </c>
      <c r="O82" s="132">
        <v>300</v>
      </c>
      <c r="P82" s="132">
        <v>1</v>
      </c>
      <c r="Q82" s="132">
        <f>(K82* M82* O82*P82) / (1000*1000*1000)</f>
        <v>0.46</v>
      </c>
      <c r="R82" s="132" t="s">
        <v>62</v>
      </c>
      <c r="S82" s="132">
        <f>F82*P82</f>
        <v>0</v>
      </c>
      <c r="T82" s="132">
        <f>0*P82</f>
        <v>0</v>
      </c>
      <c r="U82" s="134">
        <v>215</v>
      </c>
      <c r="V82" s="81">
        <f>U82*J82</f>
        <v>215</v>
      </c>
      <c r="W82" s="82"/>
      <c r="X82" s="83"/>
      <c r="Y82" s="84"/>
      <c r="Z82" s="82"/>
      <c r="AA82" s="84"/>
      <c r="AB82" s="84"/>
      <c r="AC82" s="84"/>
    </row>
    <row r="83" spans="1:29" x14ac:dyDescent="0.25">
      <c r="A83" s="79" t="s">
        <v>169</v>
      </c>
      <c r="B83" s="131" t="s">
        <v>170</v>
      </c>
      <c r="C83" s="132" t="s">
        <v>65</v>
      </c>
      <c r="D83" s="132" t="s">
        <v>171</v>
      </c>
      <c r="E83" s="132" t="s">
        <v>172</v>
      </c>
      <c r="F83" s="132">
        <v>35</v>
      </c>
      <c r="G83" s="132">
        <f>F83*J83</f>
        <v>70</v>
      </c>
      <c r="H83" s="132">
        <v>0.55000000000000004</v>
      </c>
      <c r="I83" s="132">
        <f>H83*J83</f>
        <v>1.1000000000000001</v>
      </c>
      <c r="J83" s="133">
        <v>2</v>
      </c>
      <c r="K83" s="132">
        <v>860</v>
      </c>
      <c r="L83" s="132" t="s">
        <v>61</v>
      </c>
      <c r="M83" s="132">
        <v>646</v>
      </c>
      <c r="N83" s="132" t="s">
        <v>61</v>
      </c>
      <c r="O83" s="132">
        <v>1470</v>
      </c>
      <c r="P83" s="132">
        <v>2</v>
      </c>
      <c r="Q83" s="132">
        <f>(K83* M83* O83*P83) / (1000*1000*1000)</f>
        <v>1.63</v>
      </c>
      <c r="R83" s="132" t="s">
        <v>62</v>
      </c>
      <c r="S83" s="132">
        <f>F83*P83</f>
        <v>70</v>
      </c>
      <c r="T83" s="132">
        <f>45*P83</f>
        <v>90</v>
      </c>
      <c r="U83" s="134">
        <v>387</v>
      </c>
      <c r="V83" s="81">
        <f>U83*J83</f>
        <v>774</v>
      </c>
      <c r="W83" s="82"/>
      <c r="X83" s="83"/>
      <c r="Y83" s="84"/>
      <c r="Z83" s="82"/>
      <c r="AA83" s="84"/>
      <c r="AB83" s="84"/>
      <c r="AC83" s="84"/>
    </row>
    <row r="84" spans="1:29" x14ac:dyDescent="0.25">
      <c r="A84" s="79" t="s">
        <v>173</v>
      </c>
      <c r="B84" s="131" t="s">
        <v>174</v>
      </c>
      <c r="C84" s="132" t="s">
        <v>65</v>
      </c>
      <c r="D84" s="132" t="s">
        <v>175</v>
      </c>
      <c r="E84" s="132" t="s">
        <v>176</v>
      </c>
      <c r="F84" s="132">
        <v>65</v>
      </c>
      <c r="G84" s="132">
        <f>F84*J84</f>
        <v>65</v>
      </c>
      <c r="H84" s="132">
        <v>0.21000000000000002</v>
      </c>
      <c r="I84" s="132">
        <f>H84*J84</f>
        <v>0.21</v>
      </c>
      <c r="J84" s="133">
        <v>1</v>
      </c>
      <c r="K84" s="132">
        <v>900</v>
      </c>
      <c r="L84" s="132" t="s">
        <v>61</v>
      </c>
      <c r="M84" s="132">
        <v>1000</v>
      </c>
      <c r="N84" s="132" t="s">
        <v>61</v>
      </c>
      <c r="O84" s="132">
        <v>435</v>
      </c>
      <c r="P84" s="132">
        <v>1</v>
      </c>
      <c r="Q84" s="132">
        <f>(K84* M84* O84*P84) / (1000*1000*1000)</f>
        <v>0.39</v>
      </c>
      <c r="R84" s="132" t="s">
        <v>62</v>
      </c>
      <c r="S84" s="132">
        <f>F84*P84</f>
        <v>65</v>
      </c>
      <c r="T84" s="132">
        <f>75*P84</f>
        <v>75</v>
      </c>
      <c r="U84" s="134">
        <v>640.70000000000005</v>
      </c>
      <c r="V84" s="81">
        <f>U84*J84</f>
        <v>640.70000000000005</v>
      </c>
      <c r="W84" s="82"/>
      <c r="X84" s="83"/>
      <c r="Y84" s="84"/>
      <c r="Z84" s="82"/>
      <c r="AA84" s="84"/>
      <c r="AB84" s="84"/>
      <c r="AC84" s="84"/>
    </row>
    <row r="85" spans="1:29" x14ac:dyDescent="0.25">
      <c r="A85" s="79" t="s">
        <v>177</v>
      </c>
      <c r="B85" s="131" t="s">
        <v>178</v>
      </c>
      <c r="C85" s="132" t="s">
        <v>65</v>
      </c>
      <c r="D85" s="132" t="s">
        <v>179</v>
      </c>
      <c r="E85" s="132" t="s">
        <v>180</v>
      </c>
      <c r="F85" s="132">
        <v>30</v>
      </c>
      <c r="G85" s="132">
        <f>F85*J85</f>
        <v>30</v>
      </c>
      <c r="H85" s="132">
        <v>0.38000000000000006</v>
      </c>
      <c r="I85" s="132">
        <f>H85*J85</f>
        <v>0.38</v>
      </c>
      <c r="J85" s="133">
        <v>1</v>
      </c>
      <c r="K85" s="132">
        <v>900</v>
      </c>
      <c r="L85" s="132" t="s">
        <v>61</v>
      </c>
      <c r="M85" s="132">
        <v>947</v>
      </c>
      <c r="N85" s="132" t="s">
        <v>61</v>
      </c>
      <c r="O85" s="132">
        <v>715</v>
      </c>
      <c r="P85" s="132">
        <v>1</v>
      </c>
      <c r="Q85" s="132">
        <f>(K85* M85* O85*P85) / (1000*1000*1000)</f>
        <v>0.61</v>
      </c>
      <c r="R85" s="132" t="s">
        <v>62</v>
      </c>
      <c r="S85" s="132">
        <f>F85*P85</f>
        <v>30</v>
      </c>
      <c r="T85" s="132">
        <f>35*P85</f>
        <v>35</v>
      </c>
      <c r="U85" s="134">
        <v>156.95000000000002</v>
      </c>
      <c r="V85" s="81">
        <f>U85*J85</f>
        <v>156.94999999999999</v>
      </c>
      <c r="W85" s="82"/>
      <c r="X85" s="83"/>
      <c r="Y85" s="84"/>
      <c r="Z85" s="82"/>
      <c r="AA85" s="84"/>
      <c r="AB85" s="84"/>
      <c r="AC85" s="84"/>
    </row>
    <row r="86" spans="1:29" x14ac:dyDescent="0.25">
      <c r="A86" s="79" t="s">
        <v>181</v>
      </c>
      <c r="B86" s="131" t="s">
        <v>182</v>
      </c>
      <c r="C86" s="132" t="s">
        <v>65</v>
      </c>
      <c r="D86" s="132" t="s">
        <v>183</v>
      </c>
      <c r="E86" s="132" t="s">
        <v>176</v>
      </c>
      <c r="F86" s="132">
        <v>108</v>
      </c>
      <c r="G86" s="132">
        <f>F86*J86</f>
        <v>108</v>
      </c>
      <c r="H86" s="132">
        <v>0.21000000000000002</v>
      </c>
      <c r="I86" s="132">
        <f>H86*J86</f>
        <v>0.21</v>
      </c>
      <c r="J86" s="133">
        <v>1</v>
      </c>
      <c r="K86" s="132">
        <v>900</v>
      </c>
      <c r="L86" s="132" t="s">
        <v>61</v>
      </c>
      <c r="M86" s="132">
        <v>1000</v>
      </c>
      <c r="N86" s="132" t="s">
        <v>61</v>
      </c>
      <c r="O86" s="132">
        <v>435</v>
      </c>
      <c r="P86" s="132">
        <v>1</v>
      </c>
      <c r="Q86" s="132">
        <f>(K86* M86* O86*P86) / (1000*1000*1000)</f>
        <v>0.39</v>
      </c>
      <c r="R86" s="132" t="s">
        <v>62</v>
      </c>
      <c r="S86" s="132">
        <f>F86*P86</f>
        <v>108</v>
      </c>
      <c r="T86" s="132">
        <f>118*P86</f>
        <v>118</v>
      </c>
      <c r="U86" s="134">
        <v>531.04999999999995</v>
      </c>
      <c r="V86" s="81">
        <f>U86*J86</f>
        <v>531.04999999999995</v>
      </c>
      <c r="W86" s="82"/>
      <c r="X86" s="83"/>
      <c r="Y86" s="84"/>
      <c r="Z86" s="82"/>
      <c r="AA86" s="84"/>
      <c r="AB86" s="84"/>
      <c r="AC86" s="84"/>
    </row>
    <row r="87" spans="1:29" x14ac:dyDescent="0.25">
      <c r="A87" s="79" t="s">
        <v>184</v>
      </c>
      <c r="B87" s="131" t="s">
        <v>178</v>
      </c>
      <c r="C87" s="132" t="s">
        <v>65</v>
      </c>
      <c r="D87" s="132" t="s">
        <v>179</v>
      </c>
      <c r="E87" s="132" t="s">
        <v>180</v>
      </c>
      <c r="F87" s="132">
        <v>30</v>
      </c>
      <c r="G87" s="132">
        <f>F87*J87</f>
        <v>30</v>
      </c>
      <c r="H87" s="132">
        <v>0.38000000000000006</v>
      </c>
      <c r="I87" s="132">
        <f>H87*J87</f>
        <v>0.38</v>
      </c>
      <c r="J87" s="133">
        <v>1</v>
      </c>
      <c r="K87" s="132">
        <v>900</v>
      </c>
      <c r="L87" s="132" t="s">
        <v>61</v>
      </c>
      <c r="M87" s="132">
        <v>947</v>
      </c>
      <c r="N87" s="132" t="s">
        <v>61</v>
      </c>
      <c r="O87" s="132">
        <v>715</v>
      </c>
      <c r="P87" s="132">
        <v>1</v>
      </c>
      <c r="Q87" s="132">
        <f>(K87* M87* O87*P87) / (1000*1000*1000)</f>
        <v>0.61</v>
      </c>
      <c r="R87" s="132" t="s">
        <v>62</v>
      </c>
      <c r="S87" s="132">
        <f>F87*P87</f>
        <v>30</v>
      </c>
      <c r="T87" s="132">
        <f>35*P87</f>
        <v>35</v>
      </c>
      <c r="U87" s="134">
        <v>156.95000000000002</v>
      </c>
      <c r="V87" s="81">
        <f>U87*J87</f>
        <v>156.94999999999999</v>
      </c>
      <c r="W87" s="82"/>
      <c r="X87" s="83"/>
      <c r="Y87" s="84"/>
      <c r="Z87" s="82"/>
      <c r="AA87" s="84"/>
      <c r="AB87" s="84"/>
      <c r="AC87" s="84"/>
    </row>
    <row r="88" spans="1:29" x14ac:dyDescent="0.25">
      <c r="A88" s="79" t="s">
        <v>185</v>
      </c>
      <c r="B88" s="131" t="s">
        <v>159</v>
      </c>
      <c r="C88" s="132" t="s">
        <v>65</v>
      </c>
      <c r="D88" s="132" t="s">
        <v>186</v>
      </c>
      <c r="E88" s="132" t="s">
        <v>187</v>
      </c>
      <c r="F88" s="132"/>
      <c r="G88" s="132">
        <f>F88*J88</f>
        <v>0</v>
      </c>
      <c r="H88" s="132">
        <v>3</v>
      </c>
      <c r="I88" s="132">
        <f>H88*J88</f>
        <v>3</v>
      </c>
      <c r="J88" s="133">
        <v>1</v>
      </c>
      <c r="K88" s="132"/>
      <c r="L88" s="132" t="s">
        <v>61</v>
      </c>
      <c r="M88" s="132"/>
      <c r="N88" s="132" t="s">
        <v>61</v>
      </c>
      <c r="O88" s="132"/>
      <c r="P88" s="132">
        <v>1</v>
      </c>
      <c r="Q88" s="132">
        <f>(K88* M88* O88*P88) / (1000*1000*1000)</f>
        <v>0</v>
      </c>
      <c r="R88" s="132" t="s">
        <v>62</v>
      </c>
      <c r="S88" s="132">
        <f>F88*P88</f>
        <v>0</v>
      </c>
      <c r="T88" s="132">
        <f>0*P88</f>
        <v>0</v>
      </c>
      <c r="U88" s="134">
        <v>817.8599999999999</v>
      </c>
      <c r="V88" s="81">
        <f>U88*J88</f>
        <v>817.86</v>
      </c>
      <c r="W88" s="82"/>
      <c r="X88" s="83"/>
      <c r="Y88" s="84"/>
      <c r="Z88" s="82"/>
      <c r="AA88" s="84"/>
      <c r="AB88" s="84"/>
      <c r="AC88" s="84"/>
    </row>
    <row r="89" spans="1:29" x14ac:dyDescent="0.25">
      <c r="A89" s="79" t="s">
        <v>188</v>
      </c>
      <c r="B89" s="131" t="s">
        <v>189</v>
      </c>
      <c r="C89" s="132" t="s">
        <v>65</v>
      </c>
      <c r="D89" s="132" t="s">
        <v>190</v>
      </c>
      <c r="E89" s="132" t="s">
        <v>133</v>
      </c>
      <c r="F89" s="132"/>
      <c r="G89" s="132">
        <f>F89*J89</f>
        <v>0</v>
      </c>
      <c r="H89" s="132">
        <v>0.83000000000000007</v>
      </c>
      <c r="I89" s="132">
        <f>H89*J89</f>
        <v>4.1500000000000004</v>
      </c>
      <c r="J89" s="133">
        <v>5</v>
      </c>
      <c r="K89" s="132"/>
      <c r="L89" s="132" t="s">
        <v>61</v>
      </c>
      <c r="M89" s="132"/>
      <c r="N89" s="132" t="s">
        <v>61</v>
      </c>
      <c r="O89" s="132"/>
      <c r="P89" s="132">
        <v>5</v>
      </c>
      <c r="Q89" s="132">
        <f>(K89* M89* O89*P89) / (1000*1000*1000)</f>
        <v>0</v>
      </c>
      <c r="R89" s="132" t="s">
        <v>62</v>
      </c>
      <c r="S89" s="132">
        <f>F89*P89</f>
        <v>0</v>
      </c>
      <c r="T89" s="132">
        <f>0*P89</f>
        <v>0</v>
      </c>
      <c r="U89" s="134">
        <v>174.01</v>
      </c>
      <c r="V89" s="81">
        <f>U89*J89</f>
        <v>870.05</v>
      </c>
      <c r="W89" s="82"/>
      <c r="X89" s="83"/>
      <c r="Y89" s="84"/>
      <c r="Z89" s="82"/>
      <c r="AA89" s="84"/>
      <c r="AB89" s="84"/>
      <c r="AC89" s="84"/>
    </row>
    <row r="90" spans="1:29" x14ac:dyDescent="0.25">
      <c r="A90" s="79" t="s">
        <v>191</v>
      </c>
      <c r="B90" s="131" t="s">
        <v>81</v>
      </c>
      <c r="C90" s="132" t="s">
        <v>65</v>
      </c>
      <c r="D90" s="132" t="s">
        <v>82</v>
      </c>
      <c r="E90" s="132" t="s">
        <v>83</v>
      </c>
      <c r="F90" s="132">
        <v>7</v>
      </c>
      <c r="G90" s="132">
        <f>F90*J90</f>
        <v>7</v>
      </c>
      <c r="H90" s="132">
        <v>0.05</v>
      </c>
      <c r="I90" s="132">
        <f>H90*J90</f>
        <v>0.05</v>
      </c>
      <c r="J90" s="133">
        <v>1</v>
      </c>
      <c r="K90" s="132">
        <v>605</v>
      </c>
      <c r="L90" s="132" t="s">
        <v>61</v>
      </c>
      <c r="M90" s="132">
        <v>550</v>
      </c>
      <c r="N90" s="132" t="s">
        <v>61</v>
      </c>
      <c r="O90" s="132">
        <v>320</v>
      </c>
      <c r="P90" s="132">
        <v>1</v>
      </c>
      <c r="Q90" s="132">
        <f>(K90* M90* O90*P90) / (1000*1000*1000)</f>
        <v>0.11</v>
      </c>
      <c r="R90" s="132" t="s">
        <v>62</v>
      </c>
      <c r="S90" s="132">
        <f>F90*P90</f>
        <v>7</v>
      </c>
      <c r="T90" s="132">
        <f>12*P90</f>
        <v>12</v>
      </c>
      <c r="U90" s="134">
        <v>86</v>
      </c>
      <c r="V90" s="81">
        <f>U90*J90</f>
        <v>86</v>
      </c>
      <c r="W90" s="82"/>
      <c r="X90" s="83"/>
      <c r="Y90" s="84"/>
      <c r="Z90" s="82"/>
      <c r="AA90" s="84"/>
      <c r="AB90" s="84"/>
      <c r="AC90" s="84"/>
    </row>
    <row r="91" spans="1:29" ht="18.75" x14ac:dyDescent="0.3">
      <c r="A91" s="79"/>
      <c r="B91" s="135" t="s">
        <v>192</v>
      </c>
      <c r="C91" s="113"/>
      <c r="D91" s="113"/>
      <c r="E91" s="113"/>
      <c r="F91" s="113"/>
      <c r="G91" s="113"/>
      <c r="H91" s="113"/>
      <c r="I91" s="113"/>
      <c r="J91" s="114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5"/>
      <c r="V91" s="80"/>
    </row>
    <row r="92" spans="1:29" x14ac:dyDescent="0.25">
      <c r="A92" s="79"/>
      <c r="B92" s="113"/>
      <c r="C92" s="113"/>
      <c r="D92" s="113"/>
      <c r="E92" s="113"/>
      <c r="F92" s="113"/>
      <c r="G92" s="113"/>
      <c r="H92" s="113"/>
      <c r="I92" s="113"/>
      <c r="J92" s="114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5"/>
      <c r="V92" s="80"/>
    </row>
    <row r="93" spans="1:29" x14ac:dyDescent="0.25">
      <c r="A93" s="79" t="s">
        <v>193</v>
      </c>
      <c r="B93" s="131" t="s">
        <v>194</v>
      </c>
      <c r="C93" s="132" t="s">
        <v>65</v>
      </c>
      <c r="D93" s="132" t="s">
        <v>195</v>
      </c>
      <c r="E93" s="132" t="s">
        <v>196</v>
      </c>
      <c r="F93" s="132">
        <v>75</v>
      </c>
      <c r="G93" s="132">
        <f>F93*J93</f>
        <v>150</v>
      </c>
      <c r="H93" s="132">
        <v>0.85000000000000009</v>
      </c>
      <c r="I93" s="132">
        <f>H93*J93</f>
        <v>1.7</v>
      </c>
      <c r="J93" s="133">
        <v>2</v>
      </c>
      <c r="K93" s="132">
        <v>900</v>
      </c>
      <c r="L93" s="132" t="s">
        <v>61</v>
      </c>
      <c r="M93" s="132">
        <v>890</v>
      </c>
      <c r="N93" s="132" t="s">
        <v>61</v>
      </c>
      <c r="O93" s="132">
        <v>1500</v>
      </c>
      <c r="P93" s="132">
        <v>2</v>
      </c>
      <c r="Q93" s="132">
        <f>(K93* M93* O93*P93) / (1000*1000*1000)</f>
        <v>2.4</v>
      </c>
      <c r="R93" s="132" t="s">
        <v>62</v>
      </c>
      <c r="S93" s="132">
        <f>F93*P93</f>
        <v>150</v>
      </c>
      <c r="T93" s="132">
        <f>85*P93</f>
        <v>170</v>
      </c>
      <c r="U93" s="134">
        <v>301</v>
      </c>
      <c r="V93" s="81">
        <f>U93*J93</f>
        <v>602</v>
      </c>
      <c r="W93" s="82"/>
      <c r="X93" s="83"/>
      <c r="Y93" s="84"/>
      <c r="Z93" s="82"/>
      <c r="AA93" s="84"/>
      <c r="AB93" s="84"/>
      <c r="AC93" s="84"/>
    </row>
    <row r="94" spans="1:29" ht="15.75" thickBot="1" x14ac:dyDescent="0.3">
      <c r="A94" s="136"/>
      <c r="B94" s="137"/>
      <c r="C94" s="137"/>
      <c r="D94" s="137"/>
      <c r="E94" s="137"/>
      <c r="F94" s="137"/>
      <c r="G94" s="137"/>
      <c r="H94" s="137"/>
      <c r="I94" s="137"/>
      <c r="J94" s="138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9"/>
      <c r="V94" s="140"/>
    </row>
    <row r="95" spans="1:29" x14ac:dyDescent="0.25">
      <c r="A95" s="141" t="s">
        <v>85</v>
      </c>
      <c r="B95" s="152" t="s">
        <v>197</v>
      </c>
      <c r="C95" s="153" t="s">
        <v>65</v>
      </c>
      <c r="D95" s="153" t="s">
        <v>198</v>
      </c>
      <c r="E95" s="153" t="s">
        <v>199</v>
      </c>
      <c r="F95" s="153">
        <v>157</v>
      </c>
      <c r="G95" s="153">
        <f>F95*J95</f>
        <v>314</v>
      </c>
      <c r="H95" s="153">
        <v>1.41</v>
      </c>
      <c r="I95" s="153">
        <f>H95*J95</f>
        <v>2.82</v>
      </c>
      <c r="J95" s="154">
        <v>2</v>
      </c>
      <c r="K95" s="153">
        <v>2200</v>
      </c>
      <c r="L95" s="153" t="s">
        <v>61</v>
      </c>
      <c r="M95" s="153">
        <v>890</v>
      </c>
      <c r="N95" s="153" t="s">
        <v>61</v>
      </c>
      <c r="O95" s="153">
        <v>1000</v>
      </c>
      <c r="P95" s="153">
        <v>2</v>
      </c>
      <c r="Q95" s="153">
        <f>(K95* M95* O95*P95) / (1000*1000*1000)</f>
        <v>3.92</v>
      </c>
      <c r="R95" s="153" t="s">
        <v>62</v>
      </c>
      <c r="S95" s="153">
        <f>F95*P95</f>
        <v>314</v>
      </c>
      <c r="T95" s="153">
        <f>167*P95</f>
        <v>334</v>
      </c>
      <c r="U95" s="155">
        <v>924.5</v>
      </c>
      <c r="V95" s="156">
        <f>U95*J95</f>
        <v>1849</v>
      </c>
      <c r="W95" s="82"/>
      <c r="X95" s="83"/>
      <c r="Y95" s="84"/>
      <c r="Z95" s="82"/>
      <c r="AA95" s="84"/>
      <c r="AB95" s="84"/>
      <c r="AC95" s="84"/>
    </row>
    <row r="96" spans="1:29" x14ac:dyDescent="0.25">
      <c r="A96" s="79"/>
      <c r="B96" s="113"/>
      <c r="C96" s="113"/>
      <c r="D96" s="113"/>
      <c r="E96" s="113"/>
      <c r="F96" s="113"/>
      <c r="G96" s="113"/>
      <c r="H96" s="113"/>
      <c r="I96" s="113"/>
      <c r="J96" s="114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5"/>
      <c r="V96" s="80"/>
    </row>
    <row r="97" spans="1:29" x14ac:dyDescent="0.25">
      <c r="A97" s="79" t="s">
        <v>200</v>
      </c>
      <c r="B97" s="131" t="s">
        <v>201</v>
      </c>
      <c r="C97" s="132" t="s">
        <v>65</v>
      </c>
      <c r="D97" s="132" t="s">
        <v>202</v>
      </c>
      <c r="E97" s="132" t="s">
        <v>203</v>
      </c>
      <c r="F97" s="132"/>
      <c r="G97" s="132">
        <f>F97*J97</f>
        <v>0</v>
      </c>
      <c r="H97" s="132"/>
      <c r="I97" s="132">
        <f>H97*J97</f>
        <v>0</v>
      </c>
      <c r="J97" s="133">
        <v>2</v>
      </c>
      <c r="K97" s="132"/>
      <c r="L97" s="132" t="s">
        <v>61</v>
      </c>
      <c r="M97" s="132"/>
      <c r="N97" s="132" t="s">
        <v>61</v>
      </c>
      <c r="O97" s="132"/>
      <c r="P97" s="132">
        <v>2</v>
      </c>
      <c r="Q97" s="132">
        <f>(K97* M97* O97*P97) / (1000*1000*1000)</f>
        <v>0</v>
      </c>
      <c r="R97" s="132" t="s">
        <v>62</v>
      </c>
      <c r="S97" s="132">
        <f>F97*P97</f>
        <v>0</v>
      </c>
      <c r="T97" s="132">
        <f>0*P97</f>
        <v>0</v>
      </c>
      <c r="U97" s="134">
        <v>158.82000000000002</v>
      </c>
      <c r="V97" s="81">
        <f>U97*J97</f>
        <v>317.64</v>
      </c>
      <c r="W97" s="82"/>
      <c r="X97" s="83"/>
      <c r="Y97" s="84"/>
      <c r="Z97" s="82"/>
      <c r="AA97" s="84"/>
      <c r="AB97" s="84"/>
      <c r="AC97" s="84"/>
    </row>
    <row r="98" spans="1:29" x14ac:dyDescent="0.25">
      <c r="A98" s="79"/>
      <c r="B98" s="113"/>
      <c r="C98" s="113"/>
      <c r="D98" s="113"/>
      <c r="E98" s="113"/>
      <c r="F98" s="113"/>
      <c r="G98" s="113"/>
      <c r="H98" s="113"/>
      <c r="I98" s="113"/>
      <c r="J98" s="114"/>
      <c r="K98" s="113"/>
      <c r="L98" s="113"/>
      <c r="M98" s="113"/>
      <c r="N98" s="113"/>
      <c r="O98" s="113"/>
      <c r="P98" s="113"/>
      <c r="Q98" s="113"/>
      <c r="R98" s="113"/>
      <c r="S98" s="113"/>
      <c r="T98" s="113"/>
      <c r="U98" s="115"/>
      <c r="V98" s="80"/>
    </row>
    <row r="99" spans="1:29" x14ac:dyDescent="0.25">
      <c r="A99" s="79" t="s">
        <v>86</v>
      </c>
      <c r="B99" s="131" t="s">
        <v>204</v>
      </c>
      <c r="C99" s="132" t="s">
        <v>65</v>
      </c>
      <c r="D99" s="132" t="s">
        <v>205</v>
      </c>
      <c r="E99" s="132" t="s">
        <v>206</v>
      </c>
      <c r="F99" s="132"/>
      <c r="G99" s="132">
        <f>F99*J99</f>
        <v>0</v>
      </c>
      <c r="H99" s="132">
        <v>1.6500000000000001</v>
      </c>
      <c r="I99" s="132">
        <f>H99*J99</f>
        <v>3.3</v>
      </c>
      <c r="J99" s="133">
        <v>2</v>
      </c>
      <c r="K99" s="132"/>
      <c r="L99" s="132" t="s">
        <v>61</v>
      </c>
      <c r="M99" s="132"/>
      <c r="N99" s="132" t="s">
        <v>61</v>
      </c>
      <c r="O99" s="132"/>
      <c r="P99" s="132">
        <v>2</v>
      </c>
      <c r="Q99" s="132">
        <f>(K99* M99* O99*P99) / (1000*1000*1000)</f>
        <v>0</v>
      </c>
      <c r="R99" s="132" t="s">
        <v>62</v>
      </c>
      <c r="S99" s="132">
        <f>F99*P99</f>
        <v>0</v>
      </c>
      <c r="T99" s="132">
        <f>0*P99</f>
        <v>0</v>
      </c>
      <c r="U99" s="134">
        <v>696.6</v>
      </c>
      <c r="V99" s="81">
        <f>U99*J99</f>
        <v>1393.2</v>
      </c>
      <c r="W99" s="82"/>
      <c r="X99" s="83"/>
      <c r="Y99" s="84"/>
      <c r="Z99" s="82"/>
      <c r="AA99" s="84"/>
      <c r="AB99" s="84"/>
      <c r="AC99" s="84"/>
    </row>
    <row r="100" spans="1:29" x14ac:dyDescent="0.25">
      <c r="A100" s="79"/>
      <c r="B100" s="113"/>
      <c r="C100" s="113"/>
      <c r="D100" s="113"/>
      <c r="E100" s="113"/>
      <c r="F100" s="113"/>
      <c r="G100" s="113"/>
      <c r="H100" s="113"/>
      <c r="I100" s="113"/>
      <c r="J100" s="114"/>
      <c r="K100" s="113"/>
      <c r="L100" s="113"/>
      <c r="M100" s="113"/>
      <c r="N100" s="113"/>
      <c r="O100" s="113"/>
      <c r="P100" s="113"/>
      <c r="Q100" s="113"/>
      <c r="R100" s="113"/>
      <c r="S100" s="113"/>
      <c r="T100" s="113"/>
      <c r="U100" s="115"/>
      <c r="V100" s="80"/>
    </row>
    <row r="101" spans="1:29" x14ac:dyDescent="0.25">
      <c r="A101" s="79" t="s">
        <v>207</v>
      </c>
      <c r="B101" s="131" t="s">
        <v>208</v>
      </c>
      <c r="C101" s="132" t="s">
        <v>65</v>
      </c>
      <c r="D101" s="132" t="s">
        <v>209</v>
      </c>
      <c r="E101" s="132" t="s">
        <v>210</v>
      </c>
      <c r="F101" s="132">
        <v>105</v>
      </c>
      <c r="G101" s="132">
        <f>F101*J101</f>
        <v>210</v>
      </c>
      <c r="H101" s="132">
        <v>1.21</v>
      </c>
      <c r="I101" s="132">
        <f>H101*J101</f>
        <v>2.42</v>
      </c>
      <c r="J101" s="133">
        <v>2</v>
      </c>
      <c r="K101" s="132">
        <v>1900</v>
      </c>
      <c r="L101" s="132" t="s">
        <v>61</v>
      </c>
      <c r="M101" s="132">
        <v>890</v>
      </c>
      <c r="N101" s="132" t="s">
        <v>61</v>
      </c>
      <c r="O101" s="132">
        <v>1000</v>
      </c>
      <c r="P101" s="132">
        <v>2</v>
      </c>
      <c r="Q101" s="132">
        <f>(K101* M101* O101*P101) / (1000*1000*1000)</f>
        <v>3.38</v>
      </c>
      <c r="R101" s="132" t="s">
        <v>62</v>
      </c>
      <c r="S101" s="132">
        <f>F101*P101</f>
        <v>210</v>
      </c>
      <c r="T101" s="132">
        <f>115*P101</f>
        <v>230</v>
      </c>
      <c r="U101" s="134">
        <v>365.5</v>
      </c>
      <c r="V101" s="81">
        <f>U101*J101</f>
        <v>731</v>
      </c>
      <c r="W101" s="82"/>
      <c r="X101" s="83"/>
      <c r="Y101" s="84"/>
      <c r="Z101" s="82"/>
      <c r="AA101" s="84"/>
      <c r="AB101" s="84"/>
      <c r="AC101" s="84"/>
    </row>
    <row r="102" spans="1:29" x14ac:dyDescent="0.25">
      <c r="A102" s="79"/>
      <c r="B102" s="113"/>
      <c r="C102" s="113"/>
      <c r="D102" s="113"/>
      <c r="E102" s="113"/>
      <c r="F102" s="113"/>
      <c r="G102" s="113"/>
      <c r="H102" s="113"/>
      <c r="I102" s="113"/>
      <c r="J102" s="114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5"/>
      <c r="V102" s="80"/>
    </row>
    <row r="103" spans="1:29" x14ac:dyDescent="0.25">
      <c r="A103" s="79" t="s">
        <v>211</v>
      </c>
      <c r="B103" s="131" t="s">
        <v>212</v>
      </c>
      <c r="C103" s="132" t="s">
        <v>65</v>
      </c>
      <c r="D103" s="132" t="s">
        <v>213</v>
      </c>
      <c r="E103" s="132" t="s">
        <v>214</v>
      </c>
      <c r="F103" s="132"/>
      <c r="G103" s="132">
        <f>F103*J103</f>
        <v>0</v>
      </c>
      <c r="H103" s="132"/>
      <c r="I103" s="132">
        <f>H103*J103</f>
        <v>0</v>
      </c>
      <c r="J103" s="133">
        <v>2</v>
      </c>
      <c r="K103" s="132"/>
      <c r="L103" s="132" t="s">
        <v>61</v>
      </c>
      <c r="M103" s="132"/>
      <c r="N103" s="132" t="s">
        <v>61</v>
      </c>
      <c r="O103" s="132"/>
      <c r="P103" s="132">
        <v>2</v>
      </c>
      <c r="Q103" s="132">
        <f>(K103* M103* O103*P103) / (1000*1000*1000)</f>
        <v>0</v>
      </c>
      <c r="R103" s="132" t="s">
        <v>62</v>
      </c>
      <c r="S103" s="132">
        <f>F103*P103</f>
        <v>0</v>
      </c>
      <c r="T103" s="132">
        <f>0*P103</f>
        <v>0</v>
      </c>
      <c r="U103" s="134">
        <v>138.23999999999998</v>
      </c>
      <c r="V103" s="81">
        <f>U103*J103</f>
        <v>276.48</v>
      </c>
      <c r="W103" s="82"/>
      <c r="X103" s="83"/>
      <c r="Y103" s="84"/>
      <c r="Z103" s="82"/>
      <c r="AA103" s="84"/>
      <c r="AB103" s="84"/>
      <c r="AC103" s="84"/>
    </row>
    <row r="104" spans="1:29" x14ac:dyDescent="0.25">
      <c r="A104" s="79"/>
      <c r="B104" s="113"/>
      <c r="C104" s="113"/>
      <c r="D104" s="113"/>
      <c r="E104" s="113"/>
      <c r="F104" s="113"/>
      <c r="G104" s="113"/>
      <c r="H104" s="113"/>
      <c r="I104" s="113"/>
      <c r="J104" s="114"/>
      <c r="K104" s="113"/>
      <c r="L104" s="113"/>
      <c r="M104" s="113"/>
      <c r="N104" s="113"/>
      <c r="O104" s="113"/>
      <c r="P104" s="113"/>
      <c r="Q104" s="113"/>
      <c r="R104" s="113"/>
      <c r="S104" s="113"/>
      <c r="T104" s="113"/>
      <c r="U104" s="115"/>
      <c r="V104" s="80"/>
    </row>
    <row r="105" spans="1:29" x14ac:dyDescent="0.25">
      <c r="A105" s="79" t="s">
        <v>215</v>
      </c>
      <c r="B105" s="131" t="s">
        <v>216</v>
      </c>
      <c r="C105" s="132" t="s">
        <v>65</v>
      </c>
      <c r="D105" s="132" t="s">
        <v>217</v>
      </c>
      <c r="E105" s="132" t="s">
        <v>218</v>
      </c>
      <c r="F105" s="132"/>
      <c r="G105" s="132">
        <f>F105*J105</f>
        <v>0</v>
      </c>
      <c r="H105" s="132">
        <v>0.97</v>
      </c>
      <c r="I105" s="132">
        <f>H105*J105</f>
        <v>3.88</v>
      </c>
      <c r="J105" s="133">
        <v>4</v>
      </c>
      <c r="K105" s="132"/>
      <c r="L105" s="132" t="s">
        <v>61</v>
      </c>
      <c r="M105" s="132"/>
      <c r="N105" s="132" t="s">
        <v>61</v>
      </c>
      <c r="O105" s="132"/>
      <c r="P105" s="132">
        <v>4</v>
      </c>
      <c r="Q105" s="132">
        <f>(K105* M105* O105*P105) / (1000*1000*1000)</f>
        <v>0</v>
      </c>
      <c r="R105" s="132" t="s">
        <v>62</v>
      </c>
      <c r="S105" s="132">
        <f>F105*P105</f>
        <v>0</v>
      </c>
      <c r="T105" s="132">
        <f>0*P105</f>
        <v>0</v>
      </c>
      <c r="U105" s="134">
        <v>349.65000000000003</v>
      </c>
      <c r="V105" s="81">
        <f>U105*J105</f>
        <v>1398.6</v>
      </c>
      <c r="W105" s="82"/>
      <c r="X105" s="83"/>
      <c r="Y105" s="84"/>
      <c r="Z105" s="82"/>
      <c r="AA105" s="84"/>
      <c r="AB105" s="84"/>
      <c r="AC105" s="84"/>
    </row>
    <row r="106" spans="1:29" x14ac:dyDescent="0.25">
      <c r="A106" s="79"/>
      <c r="B106" s="113"/>
      <c r="C106" s="113"/>
      <c r="D106" s="113"/>
      <c r="E106" s="113"/>
      <c r="F106" s="113"/>
      <c r="G106" s="113"/>
      <c r="H106" s="113"/>
      <c r="I106" s="113"/>
      <c r="J106" s="114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5"/>
      <c r="V106" s="80"/>
    </row>
    <row r="107" spans="1:29" x14ac:dyDescent="0.25">
      <c r="A107" s="79" t="s">
        <v>219</v>
      </c>
      <c r="B107" s="131" t="s">
        <v>220</v>
      </c>
      <c r="C107" s="132" t="s">
        <v>65</v>
      </c>
      <c r="D107" s="132" t="s">
        <v>221</v>
      </c>
      <c r="E107" s="132" t="s">
        <v>222</v>
      </c>
      <c r="F107" s="132"/>
      <c r="G107" s="132">
        <f>F107*J107</f>
        <v>0</v>
      </c>
      <c r="H107" s="132">
        <v>0.31000000000000005</v>
      </c>
      <c r="I107" s="132">
        <f>H107*J107</f>
        <v>0.31</v>
      </c>
      <c r="J107" s="133">
        <v>1</v>
      </c>
      <c r="K107" s="132"/>
      <c r="L107" s="132" t="s">
        <v>61</v>
      </c>
      <c r="M107" s="132"/>
      <c r="N107" s="132" t="s">
        <v>61</v>
      </c>
      <c r="O107" s="132"/>
      <c r="P107" s="132">
        <v>1</v>
      </c>
      <c r="Q107" s="132">
        <f>(K107* M107* O107*P107) / (1000*1000*1000)</f>
        <v>0</v>
      </c>
      <c r="R107" s="132" t="s">
        <v>62</v>
      </c>
      <c r="S107" s="132">
        <f>F107*P107</f>
        <v>0</v>
      </c>
      <c r="T107" s="132">
        <f>0*P107</f>
        <v>0</v>
      </c>
      <c r="U107" s="134">
        <v>220.59</v>
      </c>
      <c r="V107" s="81">
        <f>U107*J107</f>
        <v>220.59</v>
      </c>
      <c r="W107" s="82"/>
      <c r="X107" s="83"/>
      <c r="Y107" s="84"/>
      <c r="Z107" s="82"/>
      <c r="AA107" s="84"/>
      <c r="AB107" s="84"/>
      <c r="AC107" s="84"/>
    </row>
    <row r="108" spans="1:29" x14ac:dyDescent="0.25">
      <c r="A108" s="79"/>
      <c r="B108" s="113"/>
      <c r="C108" s="113"/>
      <c r="D108" s="113"/>
      <c r="E108" s="113"/>
      <c r="F108" s="113"/>
      <c r="G108" s="113"/>
      <c r="H108" s="113"/>
      <c r="I108" s="113"/>
      <c r="J108" s="114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5"/>
      <c r="V108" s="80"/>
    </row>
    <row r="109" spans="1:29" x14ac:dyDescent="0.25">
      <c r="A109" s="79" t="s">
        <v>223</v>
      </c>
      <c r="B109" s="131" t="s">
        <v>64</v>
      </c>
      <c r="C109" s="132" t="s">
        <v>65</v>
      </c>
      <c r="D109" s="132" t="s">
        <v>66</v>
      </c>
      <c r="E109" s="132" t="s">
        <v>67</v>
      </c>
      <c r="F109" s="132">
        <v>12</v>
      </c>
      <c r="G109" s="132">
        <f>F109*J109</f>
        <v>12</v>
      </c>
      <c r="H109" s="132">
        <v>0.43000000000000005</v>
      </c>
      <c r="I109" s="132">
        <f>H109*J109</f>
        <v>0.43</v>
      </c>
      <c r="J109" s="133">
        <v>1</v>
      </c>
      <c r="K109" s="132">
        <v>650</v>
      </c>
      <c r="L109" s="132" t="s">
        <v>61</v>
      </c>
      <c r="M109" s="132">
        <v>960</v>
      </c>
      <c r="N109" s="132" t="s">
        <v>61</v>
      </c>
      <c r="O109" s="132">
        <v>300</v>
      </c>
      <c r="P109" s="132">
        <v>1</v>
      </c>
      <c r="Q109" s="132">
        <f>(K109* M109* O109*P109) / (1000*1000*1000)</f>
        <v>0.19</v>
      </c>
      <c r="R109" s="132" t="s">
        <v>62</v>
      </c>
      <c r="S109" s="132">
        <f>F109*P109</f>
        <v>12</v>
      </c>
      <c r="T109" s="132">
        <f>17*P109</f>
        <v>17</v>
      </c>
      <c r="U109" s="134">
        <v>94.6</v>
      </c>
      <c r="V109" s="81">
        <f>U109*J109</f>
        <v>94.6</v>
      </c>
      <c r="W109" s="82"/>
      <c r="X109" s="83"/>
      <c r="Y109" s="84"/>
      <c r="Z109" s="82"/>
      <c r="AA109" s="84"/>
      <c r="AB109" s="84"/>
      <c r="AC109" s="84"/>
    </row>
    <row r="110" spans="1:29" x14ac:dyDescent="0.25">
      <c r="A110" s="79"/>
      <c r="B110" s="113"/>
      <c r="C110" s="113"/>
      <c r="D110" s="113"/>
      <c r="E110" s="113"/>
      <c r="F110" s="113"/>
      <c r="G110" s="113"/>
      <c r="H110" s="113"/>
      <c r="I110" s="113"/>
      <c r="J110" s="114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5"/>
      <c r="V110" s="80"/>
    </row>
    <row r="111" spans="1:29" x14ac:dyDescent="0.25">
      <c r="A111" s="79" t="s">
        <v>224</v>
      </c>
      <c r="B111" s="131" t="s">
        <v>225</v>
      </c>
      <c r="C111" s="132" t="s">
        <v>65</v>
      </c>
      <c r="D111" s="132" t="s">
        <v>226</v>
      </c>
      <c r="E111" s="132" t="s">
        <v>227</v>
      </c>
      <c r="F111" s="132"/>
      <c r="G111" s="132">
        <f>F111*J111</f>
        <v>0</v>
      </c>
      <c r="H111" s="132">
        <v>1.1300000000000001</v>
      </c>
      <c r="I111" s="132">
        <f>H111*J111</f>
        <v>2.2599999999999998</v>
      </c>
      <c r="J111" s="133">
        <v>2</v>
      </c>
      <c r="K111" s="132"/>
      <c r="L111" s="132" t="s">
        <v>61</v>
      </c>
      <c r="M111" s="132"/>
      <c r="N111" s="132" t="s">
        <v>61</v>
      </c>
      <c r="O111" s="132"/>
      <c r="P111" s="132">
        <v>2</v>
      </c>
      <c r="Q111" s="132">
        <f>(K111* M111* O111*P111) / (1000*1000*1000)</f>
        <v>0</v>
      </c>
      <c r="R111" s="132" t="s">
        <v>62</v>
      </c>
      <c r="S111" s="132">
        <f>F111*P111</f>
        <v>0</v>
      </c>
      <c r="T111" s="132">
        <f>0*P111</f>
        <v>0</v>
      </c>
      <c r="U111" s="134">
        <v>250.52</v>
      </c>
      <c r="V111" s="81">
        <f>U111*J111</f>
        <v>501.04</v>
      </c>
      <c r="W111" s="82"/>
      <c r="X111" s="83"/>
      <c r="Y111" s="84"/>
      <c r="Z111" s="82"/>
      <c r="AA111" s="84"/>
      <c r="AB111" s="84"/>
      <c r="AC111" s="84"/>
    </row>
    <row r="112" spans="1:29" x14ac:dyDescent="0.25">
      <c r="A112" s="79"/>
      <c r="B112" s="113"/>
      <c r="C112" s="113"/>
      <c r="D112" s="113"/>
      <c r="E112" s="113"/>
      <c r="F112" s="113"/>
      <c r="G112" s="113"/>
      <c r="H112" s="113"/>
      <c r="I112" s="113"/>
      <c r="J112" s="114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5"/>
      <c r="V112" s="80"/>
    </row>
    <row r="113" spans="1:29" x14ac:dyDescent="0.25">
      <c r="A113" s="79" t="s">
        <v>228</v>
      </c>
      <c r="B113" s="131" t="s">
        <v>229</v>
      </c>
      <c r="C113" s="132" t="s">
        <v>65</v>
      </c>
      <c r="D113" s="132" t="s">
        <v>230</v>
      </c>
      <c r="E113" s="132" t="s">
        <v>231</v>
      </c>
      <c r="F113" s="132">
        <v>10</v>
      </c>
      <c r="G113" s="132">
        <f>F113*J113</f>
        <v>40</v>
      </c>
      <c r="H113" s="132">
        <v>0.08</v>
      </c>
      <c r="I113" s="132">
        <f>H113*J113</f>
        <v>0.32</v>
      </c>
      <c r="J113" s="133">
        <v>4</v>
      </c>
      <c r="K113" s="132">
        <v>490</v>
      </c>
      <c r="L113" s="132" t="s">
        <v>61</v>
      </c>
      <c r="M113" s="132">
        <v>490</v>
      </c>
      <c r="N113" s="132" t="s">
        <v>61</v>
      </c>
      <c r="O113" s="132">
        <v>640</v>
      </c>
      <c r="P113" s="132">
        <v>4</v>
      </c>
      <c r="Q113" s="132">
        <f>(K113* M113* O113*P113) / (1000*1000*1000)</f>
        <v>0.61</v>
      </c>
      <c r="R113" s="132" t="s">
        <v>62</v>
      </c>
      <c r="S113" s="132">
        <f>F113*P113</f>
        <v>40</v>
      </c>
      <c r="T113" s="132">
        <f>15*P113</f>
        <v>60</v>
      </c>
      <c r="U113" s="134">
        <v>184.9</v>
      </c>
      <c r="V113" s="81">
        <f>U113*J113</f>
        <v>739.6</v>
      </c>
      <c r="W113" s="82"/>
      <c r="X113" s="83"/>
      <c r="Y113" s="84"/>
      <c r="Z113" s="82"/>
      <c r="AA113" s="84"/>
      <c r="AB113" s="84"/>
      <c r="AC113" s="84"/>
    </row>
    <row r="114" spans="1:29" x14ac:dyDescent="0.25">
      <c r="A114" s="79"/>
      <c r="B114" s="113"/>
      <c r="C114" s="113"/>
      <c r="D114" s="113"/>
      <c r="E114" s="113"/>
      <c r="F114" s="113"/>
      <c r="G114" s="113"/>
      <c r="H114" s="113"/>
      <c r="I114" s="113"/>
      <c r="J114" s="114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5"/>
      <c r="V114" s="80"/>
    </row>
    <row r="115" spans="1:29" ht="18.75" x14ac:dyDescent="0.3">
      <c r="A115" s="79"/>
      <c r="B115" s="135" t="s">
        <v>232</v>
      </c>
      <c r="C115" s="113"/>
      <c r="D115" s="113"/>
      <c r="E115" s="113"/>
      <c r="F115" s="113"/>
      <c r="G115" s="113"/>
      <c r="H115" s="113"/>
      <c r="I115" s="113"/>
      <c r="J115" s="114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5"/>
      <c r="V115" s="80"/>
    </row>
    <row r="116" spans="1:29" x14ac:dyDescent="0.25">
      <c r="A116" s="79"/>
      <c r="B116" s="113"/>
      <c r="C116" s="113"/>
      <c r="D116" s="113"/>
      <c r="E116" s="113"/>
      <c r="F116" s="113"/>
      <c r="G116" s="113"/>
      <c r="H116" s="113"/>
      <c r="I116" s="113"/>
      <c r="J116" s="114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5"/>
      <c r="V116" s="80"/>
    </row>
    <row r="117" spans="1:29" x14ac:dyDescent="0.25">
      <c r="A117" s="79" t="s">
        <v>233</v>
      </c>
      <c r="B117" s="131" t="s">
        <v>234</v>
      </c>
      <c r="C117" s="132" t="s">
        <v>65</v>
      </c>
      <c r="D117" s="132" t="s">
        <v>235</v>
      </c>
      <c r="E117" s="132" t="s">
        <v>113</v>
      </c>
      <c r="F117" s="132"/>
      <c r="G117" s="132">
        <f>F117*J117</f>
        <v>0</v>
      </c>
      <c r="H117" s="132">
        <v>0.95000000000000007</v>
      </c>
      <c r="I117" s="132">
        <f>H117*J117</f>
        <v>0.95</v>
      </c>
      <c r="J117" s="133">
        <v>1</v>
      </c>
      <c r="K117" s="132"/>
      <c r="L117" s="132" t="s">
        <v>61</v>
      </c>
      <c r="M117" s="132"/>
      <c r="N117" s="132" t="s">
        <v>61</v>
      </c>
      <c r="O117" s="132"/>
      <c r="P117" s="132">
        <v>1</v>
      </c>
      <c r="Q117" s="132">
        <f>(K117* M117* O117*P117) / (1000*1000*1000)</f>
        <v>0</v>
      </c>
      <c r="R117" s="132" t="s">
        <v>62</v>
      </c>
      <c r="S117" s="132">
        <f>F117*P117</f>
        <v>0</v>
      </c>
      <c r="T117" s="132">
        <f>0*P117</f>
        <v>0</v>
      </c>
      <c r="U117" s="134">
        <v>157.10999999999999</v>
      </c>
      <c r="V117" s="81">
        <f>U117*J117</f>
        <v>157.11000000000001</v>
      </c>
      <c r="W117" s="82"/>
      <c r="X117" s="83"/>
      <c r="Y117" s="84"/>
      <c r="Z117" s="82"/>
      <c r="AA117" s="84"/>
      <c r="AB117" s="84"/>
      <c r="AC117" s="84"/>
    </row>
    <row r="118" spans="1:29" x14ac:dyDescent="0.25">
      <c r="A118" s="79"/>
      <c r="B118" s="113"/>
      <c r="C118" s="113"/>
      <c r="D118" s="113"/>
      <c r="E118" s="113"/>
      <c r="F118" s="113"/>
      <c r="G118" s="113"/>
      <c r="H118" s="113"/>
      <c r="I118" s="113"/>
      <c r="J118" s="114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5"/>
      <c r="V118" s="80"/>
    </row>
    <row r="119" spans="1:29" x14ac:dyDescent="0.25">
      <c r="A119" s="79" t="s">
        <v>236</v>
      </c>
      <c r="B119" s="131" t="s">
        <v>237</v>
      </c>
      <c r="C119" s="132" t="s">
        <v>65</v>
      </c>
      <c r="D119" s="132" t="s">
        <v>238</v>
      </c>
      <c r="E119" s="132" t="s">
        <v>239</v>
      </c>
      <c r="F119" s="132">
        <v>0</v>
      </c>
      <c r="G119" s="132">
        <f>F119*J119</f>
        <v>0</v>
      </c>
      <c r="H119" s="132">
        <v>0.06</v>
      </c>
      <c r="I119" s="132">
        <f>H119*J119</f>
        <v>0.18</v>
      </c>
      <c r="J119" s="133">
        <v>3</v>
      </c>
      <c r="K119" s="132">
        <v>500</v>
      </c>
      <c r="L119" s="132" t="s">
        <v>61</v>
      </c>
      <c r="M119" s="132">
        <v>500</v>
      </c>
      <c r="N119" s="132" t="s">
        <v>61</v>
      </c>
      <c r="O119" s="132">
        <v>600</v>
      </c>
      <c r="P119" s="132">
        <v>3</v>
      </c>
      <c r="Q119" s="132">
        <f>(K119* M119* O119*P119) / (1000*1000*1000)</f>
        <v>0.45</v>
      </c>
      <c r="R119" s="132" t="s">
        <v>62</v>
      </c>
      <c r="S119" s="132">
        <f>F119*P119</f>
        <v>0</v>
      </c>
      <c r="T119" s="132">
        <f>0*P119</f>
        <v>0</v>
      </c>
      <c r="U119" s="134">
        <v>73.099999999999994</v>
      </c>
      <c r="V119" s="81">
        <f>U119*J119</f>
        <v>219.3</v>
      </c>
      <c r="W119" s="82"/>
      <c r="X119" s="83"/>
      <c r="Y119" s="84"/>
      <c r="Z119" s="82"/>
      <c r="AA119" s="84"/>
      <c r="AB119" s="84"/>
      <c r="AC119" s="84"/>
    </row>
    <row r="120" spans="1:29" x14ac:dyDescent="0.25">
      <c r="A120" s="79"/>
      <c r="B120" s="113"/>
      <c r="C120" s="113"/>
      <c r="D120" s="113"/>
      <c r="E120" s="113"/>
      <c r="F120" s="113"/>
      <c r="G120" s="113"/>
      <c r="H120" s="113"/>
      <c r="I120" s="113"/>
      <c r="J120" s="114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5"/>
      <c r="V120" s="80"/>
    </row>
    <row r="121" spans="1:29" x14ac:dyDescent="0.25">
      <c r="A121" s="79" t="s">
        <v>240</v>
      </c>
      <c r="B121" s="131" t="s">
        <v>241</v>
      </c>
      <c r="C121" s="132" t="s">
        <v>65</v>
      </c>
      <c r="D121" s="132" t="s">
        <v>242</v>
      </c>
      <c r="E121" s="132" t="s">
        <v>243</v>
      </c>
      <c r="F121" s="132"/>
      <c r="G121" s="132">
        <f>F121*J121</f>
        <v>0</v>
      </c>
      <c r="H121" s="132">
        <v>0.89</v>
      </c>
      <c r="I121" s="132">
        <f>H121*J121</f>
        <v>0.89</v>
      </c>
      <c r="J121" s="133">
        <v>1</v>
      </c>
      <c r="K121" s="132"/>
      <c r="L121" s="132" t="s">
        <v>61</v>
      </c>
      <c r="M121" s="132"/>
      <c r="N121" s="132" t="s">
        <v>61</v>
      </c>
      <c r="O121" s="132"/>
      <c r="P121" s="132">
        <v>1</v>
      </c>
      <c r="Q121" s="132">
        <f>(K121* M121* O121*P121) / (1000*1000*1000)</f>
        <v>0</v>
      </c>
      <c r="R121" s="132" t="s">
        <v>62</v>
      </c>
      <c r="S121" s="132">
        <f>F121*P121</f>
        <v>0</v>
      </c>
      <c r="T121" s="132">
        <f>0*P121</f>
        <v>0</v>
      </c>
      <c r="U121" s="134">
        <v>239.55</v>
      </c>
      <c r="V121" s="81">
        <f>U121*J121</f>
        <v>239.55</v>
      </c>
      <c r="W121" s="82"/>
      <c r="X121" s="83"/>
      <c r="Y121" s="84"/>
      <c r="Z121" s="82"/>
      <c r="AA121" s="84"/>
      <c r="AB121" s="84"/>
      <c r="AC121" s="84"/>
    </row>
    <row r="122" spans="1:29" x14ac:dyDescent="0.25">
      <c r="A122" s="79"/>
      <c r="B122" s="113"/>
      <c r="C122" s="113"/>
      <c r="D122" s="113"/>
      <c r="E122" s="113"/>
      <c r="F122" s="113"/>
      <c r="G122" s="113"/>
      <c r="H122" s="113"/>
      <c r="I122" s="113"/>
      <c r="J122" s="114"/>
      <c r="K122" s="113"/>
      <c r="L122" s="113"/>
      <c r="M122" s="113"/>
      <c r="N122" s="113"/>
      <c r="O122" s="113"/>
      <c r="P122" s="113"/>
      <c r="Q122" s="113"/>
      <c r="R122" s="113"/>
      <c r="S122" s="113"/>
      <c r="T122" s="113"/>
      <c r="U122" s="115"/>
      <c r="V122" s="80"/>
    </row>
    <row r="123" spans="1:29" x14ac:dyDescent="0.25">
      <c r="A123" s="79" t="s">
        <v>244</v>
      </c>
      <c r="B123" s="131" t="s">
        <v>245</v>
      </c>
      <c r="C123" s="132" t="s">
        <v>65</v>
      </c>
      <c r="D123" s="132" t="s">
        <v>246</v>
      </c>
      <c r="E123" s="132" t="s">
        <v>247</v>
      </c>
      <c r="F123" s="132">
        <v>4.8</v>
      </c>
      <c r="G123" s="132">
        <f>F123*J123</f>
        <v>4.8</v>
      </c>
      <c r="H123" s="132">
        <v>0.79</v>
      </c>
      <c r="I123" s="132">
        <f>H123*J123</f>
        <v>0.79</v>
      </c>
      <c r="J123" s="133">
        <v>1</v>
      </c>
      <c r="K123" s="132">
        <v>1600</v>
      </c>
      <c r="L123" s="132" t="s">
        <v>61</v>
      </c>
      <c r="M123" s="132">
        <v>540</v>
      </c>
      <c r="N123" s="132" t="s">
        <v>61</v>
      </c>
      <c r="O123" s="132">
        <v>1350</v>
      </c>
      <c r="P123" s="132">
        <v>1</v>
      </c>
      <c r="Q123" s="132">
        <f>(K123* M123* O123*P123) / (1000*1000*1000)</f>
        <v>1.17</v>
      </c>
      <c r="R123" s="132" t="s">
        <v>62</v>
      </c>
      <c r="S123" s="132">
        <f>F123*P123</f>
        <v>4.8</v>
      </c>
      <c r="T123" s="132">
        <f>9.8*P123</f>
        <v>9.8000000000000007</v>
      </c>
      <c r="U123" s="134">
        <v>66.649999999999991</v>
      </c>
      <c r="V123" s="81">
        <f>U123*J123</f>
        <v>66.650000000000006</v>
      </c>
      <c r="W123" s="82"/>
      <c r="X123" s="83"/>
      <c r="Y123" s="84"/>
      <c r="Z123" s="82"/>
      <c r="AA123" s="84"/>
      <c r="AB123" s="84"/>
      <c r="AC123" s="84"/>
    </row>
    <row r="124" spans="1:29" x14ac:dyDescent="0.25">
      <c r="A124" s="79"/>
      <c r="B124" s="113"/>
      <c r="C124" s="113"/>
      <c r="D124" s="113"/>
      <c r="E124" s="113"/>
      <c r="F124" s="113"/>
      <c r="G124" s="113"/>
      <c r="H124" s="113"/>
      <c r="I124" s="113"/>
      <c r="J124" s="114"/>
      <c r="K124" s="113"/>
      <c r="L124" s="113"/>
      <c r="M124" s="113"/>
      <c r="N124" s="113"/>
      <c r="O124" s="113"/>
      <c r="P124" s="113"/>
      <c r="Q124" s="113"/>
      <c r="R124" s="113"/>
      <c r="S124" s="113"/>
      <c r="T124" s="113"/>
      <c r="U124" s="115"/>
      <c r="V124" s="80"/>
    </row>
    <row r="125" spans="1:29" x14ac:dyDescent="0.25">
      <c r="A125" s="79" t="s">
        <v>248</v>
      </c>
      <c r="B125" s="131" t="s">
        <v>249</v>
      </c>
      <c r="C125" s="132" t="s">
        <v>65</v>
      </c>
      <c r="D125" s="132" t="s">
        <v>250</v>
      </c>
      <c r="E125" s="132" t="s">
        <v>251</v>
      </c>
      <c r="F125" s="132"/>
      <c r="G125" s="132">
        <f>F125*J125</f>
        <v>0</v>
      </c>
      <c r="H125" s="132">
        <v>0.5</v>
      </c>
      <c r="I125" s="132">
        <f>H125*J125</f>
        <v>1</v>
      </c>
      <c r="J125" s="133">
        <v>2</v>
      </c>
      <c r="K125" s="132"/>
      <c r="L125" s="132" t="s">
        <v>61</v>
      </c>
      <c r="M125" s="132"/>
      <c r="N125" s="132" t="s">
        <v>61</v>
      </c>
      <c r="O125" s="132"/>
      <c r="P125" s="132">
        <v>2</v>
      </c>
      <c r="Q125" s="132">
        <f>(K125* M125* O125*P125) / (1000*1000*1000)</f>
        <v>0</v>
      </c>
      <c r="R125" s="132" t="s">
        <v>62</v>
      </c>
      <c r="S125" s="132">
        <f>F125*P125</f>
        <v>0</v>
      </c>
      <c r="T125" s="132">
        <f>0*P125</f>
        <v>0</v>
      </c>
      <c r="U125" s="134">
        <v>168.37</v>
      </c>
      <c r="V125" s="81">
        <f>U125*J125</f>
        <v>336.74</v>
      </c>
      <c r="W125" s="82"/>
      <c r="X125" s="83"/>
      <c r="Y125" s="84"/>
      <c r="Z125" s="82"/>
      <c r="AA125" s="84"/>
      <c r="AB125" s="84"/>
      <c r="AC125" s="84"/>
    </row>
    <row r="126" spans="1:29" x14ac:dyDescent="0.25">
      <c r="A126" s="79"/>
      <c r="B126" s="113"/>
      <c r="C126" s="113"/>
      <c r="D126" s="113"/>
      <c r="E126" s="113"/>
      <c r="F126" s="113"/>
      <c r="G126" s="113"/>
      <c r="H126" s="113"/>
      <c r="I126" s="113"/>
      <c r="J126" s="114"/>
      <c r="K126" s="113"/>
      <c r="L126" s="113"/>
      <c r="M126" s="113"/>
      <c r="N126" s="113"/>
      <c r="O126" s="113"/>
      <c r="P126" s="113"/>
      <c r="Q126" s="113"/>
      <c r="R126" s="113"/>
      <c r="S126" s="113"/>
      <c r="T126" s="113"/>
      <c r="U126" s="115"/>
      <c r="V126" s="80"/>
    </row>
    <row r="127" spans="1:29" x14ac:dyDescent="0.25">
      <c r="A127" s="79" t="s">
        <v>252</v>
      </c>
      <c r="B127" s="131" t="s">
        <v>253</v>
      </c>
      <c r="C127" s="132" t="s">
        <v>65</v>
      </c>
      <c r="D127" s="132" t="s">
        <v>254</v>
      </c>
      <c r="E127" s="132" t="s">
        <v>105</v>
      </c>
      <c r="F127" s="132"/>
      <c r="G127" s="132">
        <f>F127*J127</f>
        <v>0</v>
      </c>
      <c r="H127" s="132">
        <v>0.36000000000000004</v>
      </c>
      <c r="I127" s="132">
        <f>H127*J127</f>
        <v>0.36</v>
      </c>
      <c r="J127" s="133">
        <v>1</v>
      </c>
      <c r="K127" s="132"/>
      <c r="L127" s="132" t="s">
        <v>61</v>
      </c>
      <c r="M127" s="132"/>
      <c r="N127" s="132" t="s">
        <v>61</v>
      </c>
      <c r="O127" s="132"/>
      <c r="P127" s="132">
        <v>1</v>
      </c>
      <c r="Q127" s="132">
        <f>(K127* M127* O127*P127) / (1000*1000*1000)</f>
        <v>0</v>
      </c>
      <c r="R127" s="132" t="s">
        <v>62</v>
      </c>
      <c r="S127" s="132">
        <f>F127*P127</f>
        <v>0</v>
      </c>
      <c r="T127" s="132">
        <f>0*P127</f>
        <v>0</v>
      </c>
      <c r="U127" s="134">
        <v>139.32000000000002</v>
      </c>
      <c r="V127" s="81">
        <f>U127*J127</f>
        <v>139.32</v>
      </c>
      <c r="W127" s="82"/>
      <c r="X127" s="83"/>
      <c r="Y127" s="84"/>
      <c r="Z127" s="82"/>
      <c r="AA127" s="84"/>
      <c r="AB127" s="84"/>
      <c r="AC127" s="84"/>
    </row>
    <row r="128" spans="1:29" x14ac:dyDescent="0.25">
      <c r="A128" s="79"/>
      <c r="B128" s="113"/>
      <c r="C128" s="113"/>
      <c r="D128" s="113"/>
      <c r="E128" s="113"/>
      <c r="F128" s="113"/>
      <c r="G128" s="113"/>
      <c r="H128" s="113"/>
      <c r="I128" s="113"/>
      <c r="J128" s="114"/>
      <c r="K128" s="113"/>
      <c r="L128" s="113"/>
      <c r="M128" s="113"/>
      <c r="N128" s="113"/>
      <c r="O128" s="113"/>
      <c r="P128" s="113"/>
      <c r="Q128" s="113"/>
      <c r="R128" s="113"/>
      <c r="S128" s="113"/>
      <c r="T128" s="113"/>
      <c r="U128" s="115"/>
      <c r="V128" s="80"/>
    </row>
    <row r="129" spans="1:29" x14ac:dyDescent="0.25">
      <c r="A129" s="79" t="s">
        <v>255</v>
      </c>
      <c r="B129" s="131" t="s">
        <v>253</v>
      </c>
      <c r="C129" s="132" t="s">
        <v>65</v>
      </c>
      <c r="D129" s="132" t="s">
        <v>256</v>
      </c>
      <c r="E129" s="132" t="s">
        <v>109</v>
      </c>
      <c r="F129" s="132"/>
      <c r="G129" s="132">
        <f>F129*J129</f>
        <v>0</v>
      </c>
      <c r="H129" s="132">
        <v>0.42000000000000004</v>
      </c>
      <c r="I129" s="132">
        <f>H129*J129</f>
        <v>0.42</v>
      </c>
      <c r="J129" s="133">
        <v>1</v>
      </c>
      <c r="K129" s="132"/>
      <c r="L129" s="132" t="s">
        <v>61</v>
      </c>
      <c r="M129" s="132"/>
      <c r="N129" s="132" t="s">
        <v>61</v>
      </c>
      <c r="O129" s="132"/>
      <c r="P129" s="132">
        <v>1</v>
      </c>
      <c r="Q129" s="132">
        <f>(K129* M129* O129*P129) / (1000*1000*1000)</f>
        <v>0</v>
      </c>
      <c r="R129" s="132" t="s">
        <v>62</v>
      </c>
      <c r="S129" s="132">
        <f>F129*P129</f>
        <v>0</v>
      </c>
      <c r="T129" s="132">
        <f>0*P129</f>
        <v>0</v>
      </c>
      <c r="U129" s="134">
        <v>149.63999999999999</v>
      </c>
      <c r="V129" s="81">
        <f>U129*J129</f>
        <v>149.63999999999999</v>
      </c>
      <c r="W129" s="82"/>
      <c r="X129" s="83"/>
      <c r="Y129" s="84"/>
      <c r="Z129" s="82"/>
      <c r="AA129" s="84"/>
      <c r="AB129" s="84"/>
      <c r="AC129" s="84"/>
    </row>
    <row r="130" spans="1:29" x14ac:dyDescent="0.25">
      <c r="A130" s="79"/>
      <c r="B130" s="113"/>
      <c r="C130" s="113"/>
      <c r="D130" s="113"/>
      <c r="E130" s="113"/>
      <c r="F130" s="113"/>
      <c r="G130" s="113"/>
      <c r="H130" s="113"/>
      <c r="I130" s="113"/>
      <c r="J130" s="114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5"/>
      <c r="V130" s="80"/>
    </row>
    <row r="131" spans="1:29" x14ac:dyDescent="0.25">
      <c r="A131" s="79" t="s">
        <v>257</v>
      </c>
      <c r="B131" s="131" t="s">
        <v>258</v>
      </c>
      <c r="C131" s="132" t="s">
        <v>65</v>
      </c>
      <c r="D131" s="132" t="s">
        <v>259</v>
      </c>
      <c r="E131" s="132" t="s">
        <v>133</v>
      </c>
      <c r="F131" s="132">
        <v>0</v>
      </c>
      <c r="G131" s="132">
        <f>F131*J131</f>
        <v>0</v>
      </c>
      <c r="H131" s="132">
        <v>0.83000000000000007</v>
      </c>
      <c r="I131" s="132">
        <f>H131*J131</f>
        <v>2.4900000000000002</v>
      </c>
      <c r="J131" s="133">
        <v>3</v>
      </c>
      <c r="K131" s="132">
        <v>1500</v>
      </c>
      <c r="L131" s="132" t="s">
        <v>61</v>
      </c>
      <c r="M131" s="132">
        <v>800</v>
      </c>
      <c r="N131" s="132" t="s">
        <v>61</v>
      </c>
      <c r="O131" s="132">
        <v>370</v>
      </c>
      <c r="P131" s="132">
        <v>3</v>
      </c>
      <c r="Q131" s="132">
        <f>(K131* M131* O131*P131) / (1000*1000*1000)</f>
        <v>1.33</v>
      </c>
      <c r="R131" s="132" t="s">
        <v>62</v>
      </c>
      <c r="S131" s="132">
        <f>F131*P131</f>
        <v>0</v>
      </c>
      <c r="T131" s="132">
        <f>0*P131</f>
        <v>0</v>
      </c>
      <c r="U131" s="134">
        <v>232.2</v>
      </c>
      <c r="V131" s="81">
        <f>U131*J131</f>
        <v>696.6</v>
      </c>
      <c r="W131" s="82"/>
      <c r="X131" s="83"/>
      <c r="Y131" s="84"/>
      <c r="Z131" s="82"/>
      <c r="AA131" s="84"/>
      <c r="AB131" s="84"/>
      <c r="AC131" s="84"/>
    </row>
    <row r="132" spans="1:29" x14ac:dyDescent="0.25">
      <c r="A132" s="79"/>
      <c r="B132" s="113"/>
      <c r="C132" s="113"/>
      <c r="D132" s="113"/>
      <c r="E132" s="113"/>
      <c r="F132" s="113"/>
      <c r="G132" s="113"/>
      <c r="H132" s="113"/>
      <c r="I132" s="113"/>
      <c r="J132" s="114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5"/>
      <c r="V132" s="80"/>
    </row>
    <row r="133" spans="1:29" x14ac:dyDescent="0.25">
      <c r="A133" s="79" t="s">
        <v>260</v>
      </c>
      <c r="B133" s="131" t="s">
        <v>261</v>
      </c>
      <c r="C133" s="132" t="s">
        <v>65</v>
      </c>
      <c r="D133" s="132" t="s">
        <v>262</v>
      </c>
      <c r="E133" s="132" t="s">
        <v>263</v>
      </c>
      <c r="F133" s="132"/>
      <c r="G133" s="132">
        <f>F133*J133</f>
        <v>0</v>
      </c>
      <c r="H133" s="132">
        <v>0.59</v>
      </c>
      <c r="I133" s="132">
        <f>H133*J133</f>
        <v>1.18</v>
      </c>
      <c r="J133" s="133">
        <v>2</v>
      </c>
      <c r="K133" s="132"/>
      <c r="L133" s="132" t="s">
        <v>61</v>
      </c>
      <c r="M133" s="132"/>
      <c r="N133" s="132" t="s">
        <v>61</v>
      </c>
      <c r="O133" s="132"/>
      <c r="P133" s="132">
        <v>2</v>
      </c>
      <c r="Q133" s="132">
        <f>(K133* M133* O133*P133) / (1000*1000*1000)</f>
        <v>0</v>
      </c>
      <c r="R133" s="132" t="s">
        <v>62</v>
      </c>
      <c r="S133" s="132">
        <f>F133*P133</f>
        <v>0</v>
      </c>
      <c r="T133" s="132">
        <f>0*P133</f>
        <v>0</v>
      </c>
      <c r="U133" s="134">
        <v>231.99</v>
      </c>
      <c r="V133" s="81">
        <f>U133*J133</f>
        <v>463.98</v>
      </c>
      <c r="W133" s="82"/>
      <c r="X133" s="83"/>
      <c r="Y133" s="84"/>
      <c r="Z133" s="82"/>
      <c r="AA133" s="84"/>
      <c r="AB133" s="84"/>
      <c r="AC133" s="84"/>
    </row>
    <row r="134" spans="1:29" ht="15.75" thickBot="1" x14ac:dyDescent="0.3">
      <c r="A134" s="136"/>
      <c r="B134" s="137"/>
      <c r="C134" s="137"/>
      <c r="D134" s="137"/>
      <c r="E134" s="137"/>
      <c r="F134" s="137"/>
      <c r="G134" s="137"/>
      <c r="H134" s="137"/>
      <c r="I134" s="137"/>
      <c r="J134" s="138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9"/>
      <c r="V134" s="140"/>
    </row>
    <row r="135" spans="1:29" x14ac:dyDescent="0.25">
      <c r="A135" s="141" t="s">
        <v>264</v>
      </c>
      <c r="B135" s="152" t="s">
        <v>265</v>
      </c>
      <c r="C135" s="153" t="s">
        <v>65</v>
      </c>
      <c r="D135" s="153" t="s">
        <v>266</v>
      </c>
      <c r="E135" s="153" t="s">
        <v>267</v>
      </c>
      <c r="F135" s="153">
        <v>4.5</v>
      </c>
      <c r="G135" s="153">
        <f>F135*J135</f>
        <v>9</v>
      </c>
      <c r="H135" s="153">
        <v>0.1</v>
      </c>
      <c r="I135" s="153">
        <f>H135*J135</f>
        <v>0.2</v>
      </c>
      <c r="J135" s="154">
        <v>2</v>
      </c>
      <c r="K135" s="153">
        <v>296</v>
      </c>
      <c r="L135" s="153" t="s">
        <v>61</v>
      </c>
      <c r="M135" s="153">
        <v>520</v>
      </c>
      <c r="N135" s="153" t="s">
        <v>61</v>
      </c>
      <c r="O135" s="153">
        <v>1350</v>
      </c>
      <c r="P135" s="153">
        <v>2</v>
      </c>
      <c r="Q135" s="153">
        <f>(K135* M135* O135*P135) / (1000*1000*1000)</f>
        <v>0.42</v>
      </c>
      <c r="R135" s="153" t="s">
        <v>62</v>
      </c>
      <c r="S135" s="153">
        <f>F135*P135</f>
        <v>9</v>
      </c>
      <c r="T135" s="153">
        <f>9.5*P135</f>
        <v>19</v>
      </c>
      <c r="U135" s="155">
        <v>77.400000000000006</v>
      </c>
      <c r="V135" s="156">
        <f>U135*J135</f>
        <v>154.80000000000001</v>
      </c>
      <c r="W135" s="82"/>
      <c r="X135" s="83"/>
      <c r="Y135" s="84"/>
      <c r="Z135" s="82"/>
      <c r="AA135" s="84"/>
      <c r="AB135" s="84"/>
      <c r="AC135" s="84"/>
    </row>
    <row r="136" spans="1:29" x14ac:dyDescent="0.25">
      <c r="A136" s="79"/>
      <c r="B136" s="113"/>
      <c r="C136" s="113"/>
      <c r="D136" s="113"/>
      <c r="E136" s="113"/>
      <c r="F136" s="113"/>
      <c r="G136" s="113"/>
      <c r="H136" s="113"/>
      <c r="I136" s="113"/>
      <c r="J136" s="114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5"/>
      <c r="V136" s="80"/>
    </row>
    <row r="137" spans="1:29" x14ac:dyDescent="0.25">
      <c r="A137" s="79" t="s">
        <v>268</v>
      </c>
      <c r="B137" s="131" t="s">
        <v>269</v>
      </c>
      <c r="C137" s="132" t="s">
        <v>65</v>
      </c>
      <c r="D137" s="132" t="s">
        <v>270</v>
      </c>
      <c r="E137" s="132" t="s">
        <v>271</v>
      </c>
      <c r="F137" s="132"/>
      <c r="G137" s="132">
        <f>F137*J137</f>
        <v>0</v>
      </c>
      <c r="H137" s="132">
        <v>0.39</v>
      </c>
      <c r="I137" s="132">
        <f>H137*J137</f>
        <v>0.78</v>
      </c>
      <c r="J137" s="133">
        <v>2</v>
      </c>
      <c r="K137" s="132"/>
      <c r="L137" s="132" t="s">
        <v>61</v>
      </c>
      <c r="M137" s="132"/>
      <c r="N137" s="132" t="s">
        <v>61</v>
      </c>
      <c r="O137" s="132"/>
      <c r="P137" s="132">
        <v>2</v>
      </c>
      <c r="Q137" s="132">
        <f>(K137* M137* O137*P137) / (1000*1000*1000)</f>
        <v>0</v>
      </c>
      <c r="R137" s="132" t="s">
        <v>62</v>
      </c>
      <c r="S137" s="132">
        <f>F137*P137</f>
        <v>0</v>
      </c>
      <c r="T137" s="132">
        <f>0*P137</f>
        <v>0</v>
      </c>
      <c r="U137" s="134">
        <v>94.6</v>
      </c>
      <c r="V137" s="81">
        <f>U137*J137</f>
        <v>189.2</v>
      </c>
      <c r="W137" s="82"/>
      <c r="X137" s="83"/>
      <c r="Y137" s="84"/>
      <c r="Z137" s="82"/>
      <c r="AA137" s="84"/>
      <c r="AB137" s="84"/>
      <c r="AC137" s="84"/>
    </row>
    <row r="138" spans="1:29" x14ac:dyDescent="0.25">
      <c r="A138" s="79"/>
      <c r="B138" s="113"/>
      <c r="C138" s="113"/>
      <c r="D138" s="113"/>
      <c r="E138" s="113"/>
      <c r="F138" s="113"/>
      <c r="G138" s="113"/>
      <c r="H138" s="113"/>
      <c r="I138" s="113"/>
      <c r="J138" s="114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5"/>
      <c r="V138" s="80"/>
    </row>
    <row r="139" spans="1:29" x14ac:dyDescent="0.25">
      <c r="A139" s="79" t="s">
        <v>272</v>
      </c>
      <c r="B139" s="131" t="s">
        <v>273</v>
      </c>
      <c r="C139" s="132" t="s">
        <v>65</v>
      </c>
      <c r="D139" s="132" t="s">
        <v>274</v>
      </c>
      <c r="E139" s="132" t="s">
        <v>275</v>
      </c>
      <c r="F139" s="132"/>
      <c r="G139" s="132">
        <f>F139*J139</f>
        <v>0</v>
      </c>
      <c r="H139" s="132">
        <v>0.56000000000000005</v>
      </c>
      <c r="I139" s="132">
        <f>H139*J139</f>
        <v>0.56000000000000005</v>
      </c>
      <c r="J139" s="133">
        <v>1</v>
      </c>
      <c r="K139" s="132"/>
      <c r="L139" s="132" t="s">
        <v>61</v>
      </c>
      <c r="M139" s="132"/>
      <c r="N139" s="132" t="s">
        <v>61</v>
      </c>
      <c r="O139" s="132"/>
      <c r="P139" s="132">
        <v>1</v>
      </c>
      <c r="Q139" s="132">
        <f>(K139* M139* O139*P139) / (1000*1000*1000)</f>
        <v>0</v>
      </c>
      <c r="R139" s="132" t="s">
        <v>62</v>
      </c>
      <c r="S139" s="132">
        <f>F139*P139</f>
        <v>0</v>
      </c>
      <c r="T139" s="132">
        <f>0*P139</f>
        <v>0</v>
      </c>
      <c r="U139" s="134">
        <v>174.58</v>
      </c>
      <c r="V139" s="81">
        <f>U139*J139</f>
        <v>174.58</v>
      </c>
      <c r="W139" s="82"/>
      <c r="X139" s="83"/>
      <c r="Y139" s="84"/>
      <c r="Z139" s="82"/>
      <c r="AA139" s="84"/>
      <c r="AB139" s="84"/>
      <c r="AC139" s="84"/>
    </row>
    <row r="140" spans="1:29" x14ac:dyDescent="0.25">
      <c r="A140" s="79"/>
      <c r="B140" s="113"/>
      <c r="C140" s="113"/>
      <c r="D140" s="113"/>
      <c r="E140" s="113"/>
      <c r="F140" s="113"/>
      <c r="G140" s="113"/>
      <c r="H140" s="113"/>
      <c r="I140" s="113"/>
      <c r="J140" s="114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5"/>
      <c r="V140" s="80"/>
    </row>
    <row r="141" spans="1:29" x14ac:dyDescent="0.25">
      <c r="A141" s="79" t="s">
        <v>276</v>
      </c>
      <c r="B141" s="131" t="s">
        <v>273</v>
      </c>
      <c r="C141" s="132" t="s">
        <v>65</v>
      </c>
      <c r="D141" s="132" t="s">
        <v>277</v>
      </c>
      <c r="E141" s="132" t="s">
        <v>278</v>
      </c>
      <c r="F141" s="132"/>
      <c r="G141" s="132">
        <f>F141*J141</f>
        <v>0</v>
      </c>
      <c r="H141" s="132">
        <v>0.96</v>
      </c>
      <c r="I141" s="132">
        <f>H141*J141</f>
        <v>2.88</v>
      </c>
      <c r="J141" s="133">
        <v>3</v>
      </c>
      <c r="K141" s="132"/>
      <c r="L141" s="132" t="s">
        <v>61</v>
      </c>
      <c r="M141" s="132"/>
      <c r="N141" s="132" t="s">
        <v>61</v>
      </c>
      <c r="O141" s="132"/>
      <c r="P141" s="132">
        <v>3</v>
      </c>
      <c r="Q141" s="132">
        <f>(K141* M141* O141*P141) / (1000*1000*1000)</f>
        <v>0</v>
      </c>
      <c r="R141" s="132" t="s">
        <v>62</v>
      </c>
      <c r="S141" s="132">
        <f>F141*P141</f>
        <v>0</v>
      </c>
      <c r="T141" s="132">
        <f>0*P141</f>
        <v>0</v>
      </c>
      <c r="U141" s="134">
        <v>283.89999999999998</v>
      </c>
      <c r="V141" s="81">
        <f>U141*J141</f>
        <v>851.7</v>
      </c>
      <c r="W141" s="82"/>
      <c r="X141" s="83"/>
      <c r="Y141" s="84"/>
      <c r="Z141" s="82"/>
      <c r="AA141" s="84"/>
      <c r="AB141" s="84"/>
      <c r="AC141" s="84"/>
    </row>
    <row r="142" spans="1:29" x14ac:dyDescent="0.25">
      <c r="A142" s="79"/>
      <c r="B142" s="113"/>
      <c r="C142" s="113"/>
      <c r="D142" s="113"/>
      <c r="E142" s="113"/>
      <c r="F142" s="113"/>
      <c r="G142" s="113"/>
      <c r="H142" s="113"/>
      <c r="I142" s="113"/>
      <c r="J142" s="114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5"/>
      <c r="V142" s="80"/>
    </row>
    <row r="143" spans="1:29" x14ac:dyDescent="0.25">
      <c r="A143" s="79" t="s">
        <v>279</v>
      </c>
      <c r="B143" s="131" t="s">
        <v>273</v>
      </c>
      <c r="C143" s="132" t="s">
        <v>65</v>
      </c>
      <c r="D143" s="132" t="s">
        <v>280</v>
      </c>
      <c r="E143" s="132" t="s">
        <v>281</v>
      </c>
      <c r="F143" s="132"/>
      <c r="G143" s="132">
        <f>F143*J143</f>
        <v>0</v>
      </c>
      <c r="H143" s="132">
        <v>1.25</v>
      </c>
      <c r="I143" s="132">
        <f>H143*J143</f>
        <v>5</v>
      </c>
      <c r="J143" s="133">
        <v>4</v>
      </c>
      <c r="K143" s="132"/>
      <c r="L143" s="132" t="s">
        <v>61</v>
      </c>
      <c r="M143" s="132"/>
      <c r="N143" s="132" t="s">
        <v>61</v>
      </c>
      <c r="O143" s="132"/>
      <c r="P143" s="132">
        <v>4</v>
      </c>
      <c r="Q143" s="132">
        <f>(K143* M143* O143*P143) / (1000*1000*1000)</f>
        <v>0</v>
      </c>
      <c r="R143" s="132" t="s">
        <v>62</v>
      </c>
      <c r="S143" s="132">
        <f>F143*P143</f>
        <v>0</v>
      </c>
      <c r="T143" s="132">
        <f>0*P143</f>
        <v>0</v>
      </c>
      <c r="U143" s="134">
        <v>325.45</v>
      </c>
      <c r="V143" s="81">
        <f>U143*J143</f>
        <v>1301.8</v>
      </c>
      <c r="W143" s="82"/>
      <c r="X143" s="83"/>
      <c r="Y143" s="84"/>
      <c r="Z143" s="82"/>
      <c r="AA143" s="84"/>
      <c r="AB143" s="84"/>
      <c r="AC143" s="84"/>
    </row>
    <row r="144" spans="1:29" x14ac:dyDescent="0.25">
      <c r="A144" s="79"/>
      <c r="B144" s="113"/>
      <c r="C144" s="113"/>
      <c r="D144" s="113"/>
      <c r="E144" s="113"/>
      <c r="F144" s="113"/>
      <c r="G144" s="113"/>
      <c r="H144" s="113"/>
      <c r="I144" s="113"/>
      <c r="J144" s="114"/>
      <c r="K144" s="113"/>
      <c r="L144" s="113"/>
      <c r="M144" s="113"/>
      <c r="N144" s="113"/>
      <c r="O144" s="113"/>
      <c r="P144" s="113"/>
      <c r="Q144" s="113"/>
      <c r="R144" s="113"/>
      <c r="S144" s="113"/>
      <c r="T144" s="113"/>
      <c r="U144" s="115"/>
      <c r="V144" s="80"/>
    </row>
    <row r="145" spans="1:29" x14ac:dyDescent="0.25">
      <c r="A145" s="79" t="s">
        <v>282</v>
      </c>
      <c r="B145" s="131" t="s">
        <v>273</v>
      </c>
      <c r="C145" s="132" t="s">
        <v>65</v>
      </c>
      <c r="D145" s="132" t="s">
        <v>283</v>
      </c>
      <c r="E145" s="132" t="s">
        <v>284</v>
      </c>
      <c r="F145" s="132"/>
      <c r="G145" s="132">
        <f>F145*J145</f>
        <v>0</v>
      </c>
      <c r="H145" s="132">
        <v>1.44</v>
      </c>
      <c r="I145" s="132">
        <f>H145*J145</f>
        <v>2.88</v>
      </c>
      <c r="J145" s="133">
        <v>2</v>
      </c>
      <c r="K145" s="132"/>
      <c r="L145" s="132" t="s">
        <v>61</v>
      </c>
      <c r="M145" s="132"/>
      <c r="N145" s="132" t="s">
        <v>61</v>
      </c>
      <c r="O145" s="132"/>
      <c r="P145" s="132">
        <v>2</v>
      </c>
      <c r="Q145" s="132">
        <f>(K145* M145* O145*P145) / (1000*1000*1000)</f>
        <v>0</v>
      </c>
      <c r="R145" s="132" t="s">
        <v>62</v>
      </c>
      <c r="S145" s="132">
        <f>F145*P145</f>
        <v>0</v>
      </c>
      <c r="T145" s="132">
        <f>0*P145</f>
        <v>0</v>
      </c>
      <c r="U145" s="134">
        <v>363.96999999999997</v>
      </c>
      <c r="V145" s="81">
        <f>U145*J145</f>
        <v>727.94</v>
      </c>
      <c r="W145" s="82"/>
      <c r="X145" s="83"/>
      <c r="Y145" s="84"/>
      <c r="Z145" s="82"/>
      <c r="AA145" s="84"/>
      <c r="AB145" s="84"/>
      <c r="AC145" s="84"/>
    </row>
    <row r="146" spans="1:29" x14ac:dyDescent="0.25">
      <c r="A146" s="79"/>
      <c r="B146" s="113"/>
      <c r="C146" s="113"/>
      <c r="D146" s="113"/>
      <c r="E146" s="113"/>
      <c r="F146" s="113"/>
      <c r="G146" s="113"/>
      <c r="H146" s="113"/>
      <c r="I146" s="113"/>
      <c r="J146" s="114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5"/>
      <c r="V146" s="80"/>
    </row>
    <row r="147" spans="1:29" x14ac:dyDescent="0.25">
      <c r="A147" s="79" t="s">
        <v>285</v>
      </c>
      <c r="B147" s="131" t="s">
        <v>73</v>
      </c>
      <c r="C147" s="132" t="s">
        <v>58</v>
      </c>
      <c r="D147" s="132" t="s">
        <v>74</v>
      </c>
      <c r="E147" s="132" t="s">
        <v>75</v>
      </c>
      <c r="F147" s="132"/>
      <c r="G147" s="132">
        <f>F147*J147</f>
        <v>0</v>
      </c>
      <c r="H147" s="132"/>
      <c r="I147" s="132">
        <f>H147*J147</f>
        <v>0</v>
      </c>
      <c r="J147" s="133">
        <v>6</v>
      </c>
      <c r="K147" s="132"/>
      <c r="L147" s="132" t="s">
        <v>61</v>
      </c>
      <c r="M147" s="132"/>
      <c r="N147" s="132" t="s">
        <v>61</v>
      </c>
      <c r="O147" s="132"/>
      <c r="P147" s="132">
        <v>6</v>
      </c>
      <c r="Q147" s="132">
        <f>(K147* M147* O147*P147) / (1000*1000*1000)</f>
        <v>0</v>
      </c>
      <c r="R147" s="132" t="s">
        <v>62</v>
      </c>
      <c r="S147" s="132">
        <f>F147*P147</f>
        <v>0</v>
      </c>
      <c r="T147" s="132">
        <f>0*P147</f>
        <v>0</v>
      </c>
      <c r="U147" s="134">
        <v>21.54</v>
      </c>
      <c r="V147" s="81">
        <f>U147*J147</f>
        <v>129.24</v>
      </c>
      <c r="W147" s="82"/>
      <c r="X147" s="83"/>
      <c r="Y147" s="84"/>
      <c r="Z147" s="82"/>
      <c r="AA147" s="84"/>
      <c r="AB147" s="84"/>
      <c r="AC147" s="84"/>
    </row>
    <row r="148" spans="1:29" x14ac:dyDescent="0.25">
      <c r="A148" s="79"/>
      <c r="B148" s="113"/>
      <c r="C148" s="113"/>
      <c r="D148" s="113"/>
      <c r="E148" s="113"/>
      <c r="F148" s="113"/>
      <c r="G148" s="113"/>
      <c r="H148" s="113"/>
      <c r="I148" s="113"/>
      <c r="J148" s="114"/>
      <c r="K148" s="113"/>
      <c r="L148" s="113"/>
      <c r="M148" s="113"/>
      <c r="N148" s="113"/>
      <c r="O148" s="113"/>
      <c r="P148" s="113"/>
      <c r="Q148" s="113"/>
      <c r="R148" s="113"/>
      <c r="S148" s="113"/>
      <c r="T148" s="113"/>
      <c r="U148" s="115"/>
      <c r="V148" s="80"/>
    </row>
    <row r="149" spans="1:29" x14ac:dyDescent="0.25">
      <c r="A149" s="79" t="s">
        <v>286</v>
      </c>
      <c r="B149" s="131" t="s">
        <v>287</v>
      </c>
      <c r="C149" s="132" t="s">
        <v>65</v>
      </c>
      <c r="D149" s="132" t="s">
        <v>288</v>
      </c>
      <c r="E149" s="132" t="s">
        <v>289</v>
      </c>
      <c r="F149" s="132">
        <v>0</v>
      </c>
      <c r="G149" s="132">
        <f>F149*J149</f>
        <v>0</v>
      </c>
      <c r="H149" s="132">
        <v>0.42000000000000004</v>
      </c>
      <c r="I149" s="132">
        <f>H149*J149</f>
        <v>1.26</v>
      </c>
      <c r="J149" s="133">
        <v>3</v>
      </c>
      <c r="K149" s="132">
        <v>300</v>
      </c>
      <c r="L149" s="132" t="s">
        <v>61</v>
      </c>
      <c r="M149" s="132">
        <v>650</v>
      </c>
      <c r="N149" s="132" t="s">
        <v>61</v>
      </c>
      <c r="O149" s="132">
        <v>500</v>
      </c>
      <c r="P149" s="132">
        <v>3</v>
      </c>
      <c r="Q149" s="132">
        <f>(K149* M149* O149*P149) / (1000*1000*1000)</f>
        <v>0.28999999999999998</v>
      </c>
      <c r="R149" s="132" t="s">
        <v>62</v>
      </c>
      <c r="S149" s="132">
        <f>F149*P149</f>
        <v>0</v>
      </c>
      <c r="T149" s="132">
        <f>0*P149</f>
        <v>0</v>
      </c>
      <c r="U149" s="134">
        <v>118.25</v>
      </c>
      <c r="V149" s="81">
        <f>U149*J149</f>
        <v>354.75</v>
      </c>
      <c r="W149" s="82"/>
      <c r="X149" s="83"/>
      <c r="Y149" s="84"/>
      <c r="Z149" s="82"/>
      <c r="AA149" s="84"/>
      <c r="AB149" s="84"/>
      <c r="AC149" s="84"/>
    </row>
    <row r="150" spans="1:29" x14ac:dyDescent="0.25">
      <c r="A150" s="79"/>
      <c r="B150" s="113"/>
      <c r="C150" s="113"/>
      <c r="D150" s="113"/>
      <c r="E150" s="113"/>
      <c r="F150" s="113"/>
      <c r="G150" s="113"/>
      <c r="H150" s="113"/>
      <c r="I150" s="113"/>
      <c r="J150" s="114"/>
      <c r="K150" s="113"/>
      <c r="L150" s="113"/>
      <c r="M150" s="113"/>
      <c r="N150" s="113"/>
      <c r="O150" s="113"/>
      <c r="P150" s="113"/>
      <c r="Q150" s="113"/>
      <c r="R150" s="113"/>
      <c r="S150" s="113"/>
      <c r="T150" s="113"/>
      <c r="U150" s="115"/>
      <c r="V150" s="80"/>
    </row>
    <row r="151" spans="1:29" x14ac:dyDescent="0.25">
      <c r="A151" s="79" t="s">
        <v>290</v>
      </c>
      <c r="B151" s="131" t="s">
        <v>234</v>
      </c>
      <c r="C151" s="132" t="s">
        <v>65</v>
      </c>
      <c r="D151" s="132" t="s">
        <v>291</v>
      </c>
      <c r="E151" s="132" t="s">
        <v>292</v>
      </c>
      <c r="F151" s="132"/>
      <c r="G151" s="132">
        <f>F151*J151</f>
        <v>0</v>
      </c>
      <c r="H151" s="132">
        <v>1.01</v>
      </c>
      <c r="I151" s="132">
        <f>H151*J151</f>
        <v>2.02</v>
      </c>
      <c r="J151" s="133">
        <v>2</v>
      </c>
      <c r="K151" s="132"/>
      <c r="L151" s="132" t="s">
        <v>61</v>
      </c>
      <c r="M151" s="132"/>
      <c r="N151" s="132" t="s">
        <v>61</v>
      </c>
      <c r="O151" s="132"/>
      <c r="P151" s="132">
        <v>2</v>
      </c>
      <c r="Q151" s="132">
        <f>(K151* M151* O151*P151) / (1000*1000*1000)</f>
        <v>0</v>
      </c>
      <c r="R151" s="132" t="s">
        <v>62</v>
      </c>
      <c r="S151" s="132">
        <f>F151*P151</f>
        <v>0</v>
      </c>
      <c r="T151" s="132">
        <f>0*P151</f>
        <v>0</v>
      </c>
      <c r="U151" s="134">
        <v>169.23999999999998</v>
      </c>
      <c r="V151" s="81">
        <f>U151*J151</f>
        <v>338.48</v>
      </c>
      <c r="W151" s="82"/>
      <c r="X151" s="83"/>
      <c r="Y151" s="84"/>
      <c r="Z151" s="82"/>
      <c r="AA151" s="84"/>
      <c r="AB151" s="84"/>
      <c r="AC151" s="84"/>
    </row>
    <row r="152" spans="1:29" x14ac:dyDescent="0.25">
      <c r="A152" s="79"/>
      <c r="B152" s="113"/>
      <c r="C152" s="113"/>
      <c r="D152" s="113"/>
      <c r="E152" s="113"/>
      <c r="F152" s="113"/>
      <c r="G152" s="113"/>
      <c r="H152" s="113"/>
      <c r="I152" s="113"/>
      <c r="J152" s="114"/>
      <c r="K152" s="113"/>
      <c r="L152" s="113"/>
      <c r="M152" s="113"/>
      <c r="N152" s="113"/>
      <c r="O152" s="113"/>
      <c r="P152" s="113"/>
      <c r="Q152" s="113"/>
      <c r="R152" s="113"/>
      <c r="S152" s="113"/>
      <c r="T152" s="113"/>
      <c r="U152" s="115"/>
      <c r="V152" s="80"/>
    </row>
    <row r="153" spans="1:29" x14ac:dyDescent="0.25">
      <c r="A153" s="79" t="s">
        <v>293</v>
      </c>
      <c r="B153" s="131" t="s">
        <v>294</v>
      </c>
      <c r="C153" s="132" t="s">
        <v>65</v>
      </c>
      <c r="D153" s="132" t="s">
        <v>295</v>
      </c>
      <c r="E153" s="132" t="s">
        <v>292</v>
      </c>
      <c r="F153" s="132"/>
      <c r="G153" s="132">
        <f>F153*J153</f>
        <v>0</v>
      </c>
      <c r="H153" s="132">
        <v>1.01</v>
      </c>
      <c r="I153" s="132">
        <f>H153*J153</f>
        <v>1.01</v>
      </c>
      <c r="J153" s="133">
        <v>1</v>
      </c>
      <c r="K153" s="132"/>
      <c r="L153" s="132" t="s">
        <v>61</v>
      </c>
      <c r="M153" s="132"/>
      <c r="N153" s="132" t="s">
        <v>61</v>
      </c>
      <c r="O153" s="132"/>
      <c r="P153" s="132">
        <v>1</v>
      </c>
      <c r="Q153" s="132">
        <f>(K153* M153* O153*P153) / (1000*1000*1000)</f>
        <v>0</v>
      </c>
      <c r="R153" s="132" t="s">
        <v>62</v>
      </c>
      <c r="S153" s="132">
        <f>F153*P153</f>
        <v>0</v>
      </c>
      <c r="T153" s="132">
        <f>0*P153</f>
        <v>0</v>
      </c>
      <c r="U153" s="134">
        <v>180.73</v>
      </c>
      <c r="V153" s="81">
        <f>U153*J153</f>
        <v>180.73</v>
      </c>
      <c r="W153" s="82"/>
      <c r="X153" s="83"/>
      <c r="Y153" s="84"/>
      <c r="Z153" s="82"/>
      <c r="AA153" s="84"/>
      <c r="AB153" s="84"/>
      <c r="AC153" s="84"/>
    </row>
    <row r="154" spans="1:29" x14ac:dyDescent="0.25">
      <c r="A154" s="79"/>
      <c r="B154" s="113"/>
      <c r="C154" s="113"/>
      <c r="D154" s="113"/>
      <c r="E154" s="113"/>
      <c r="F154" s="113"/>
      <c r="G154" s="113"/>
      <c r="H154" s="113"/>
      <c r="I154" s="113"/>
      <c r="J154" s="114"/>
      <c r="K154" s="113"/>
      <c r="L154" s="113"/>
      <c r="M154" s="113"/>
      <c r="N154" s="113"/>
      <c r="O154" s="113"/>
      <c r="P154" s="113"/>
      <c r="Q154" s="113"/>
      <c r="R154" s="113"/>
      <c r="S154" s="113"/>
      <c r="T154" s="113"/>
      <c r="U154" s="115"/>
      <c r="V154" s="80"/>
    </row>
    <row r="155" spans="1:29" ht="18.75" x14ac:dyDescent="0.3">
      <c r="A155" s="79"/>
      <c r="B155" s="135" t="s">
        <v>296</v>
      </c>
      <c r="C155" s="113"/>
      <c r="D155" s="113"/>
      <c r="E155" s="113"/>
      <c r="F155" s="113"/>
      <c r="G155" s="113"/>
      <c r="H155" s="113"/>
      <c r="I155" s="113"/>
      <c r="J155" s="114"/>
      <c r="K155" s="113"/>
      <c r="L155" s="113"/>
      <c r="M155" s="113"/>
      <c r="N155" s="113"/>
      <c r="O155" s="113"/>
      <c r="P155" s="113"/>
      <c r="Q155" s="113"/>
      <c r="R155" s="113"/>
      <c r="S155" s="113"/>
      <c r="T155" s="113"/>
      <c r="U155" s="115"/>
      <c r="V155" s="80"/>
    </row>
    <row r="156" spans="1:29" ht="3.75" customHeight="1" x14ac:dyDescent="0.25">
      <c r="A156" s="79"/>
      <c r="B156" s="113"/>
      <c r="C156" s="113"/>
      <c r="D156" s="113"/>
      <c r="E156" s="113"/>
      <c r="F156" s="113"/>
      <c r="G156" s="113"/>
      <c r="H156" s="113"/>
      <c r="I156" s="113"/>
      <c r="J156" s="114"/>
      <c r="K156" s="113"/>
      <c r="L156" s="113"/>
      <c r="M156" s="113"/>
      <c r="N156" s="113"/>
      <c r="O156" s="113"/>
      <c r="P156" s="113"/>
      <c r="Q156" s="113"/>
      <c r="R156" s="113"/>
      <c r="S156" s="113"/>
      <c r="T156" s="113"/>
      <c r="U156" s="115"/>
      <c r="V156" s="80"/>
    </row>
    <row r="157" spans="1:29" x14ac:dyDescent="0.25">
      <c r="A157" s="174" t="s">
        <v>297</v>
      </c>
      <c r="B157" s="175" t="s">
        <v>298</v>
      </c>
      <c r="C157" s="176" t="s">
        <v>65</v>
      </c>
      <c r="D157" s="176" t="s">
        <v>299</v>
      </c>
      <c r="E157" s="176" t="s">
        <v>300</v>
      </c>
      <c r="F157" s="176">
        <v>0</v>
      </c>
      <c r="G157" s="176">
        <f>F157*J157</f>
        <v>0</v>
      </c>
      <c r="H157" s="176">
        <v>0.01</v>
      </c>
      <c r="I157" s="176">
        <f>H157*J157</f>
        <v>0.04</v>
      </c>
      <c r="J157" s="177">
        <v>4</v>
      </c>
      <c r="K157" s="176">
        <v>400</v>
      </c>
      <c r="L157" s="176" t="s">
        <v>61</v>
      </c>
      <c r="M157" s="176">
        <v>400</v>
      </c>
      <c r="N157" s="176" t="s">
        <v>61</v>
      </c>
      <c r="O157" s="176">
        <v>200</v>
      </c>
      <c r="P157" s="176">
        <v>4</v>
      </c>
      <c r="Q157" s="176">
        <f>(K157* M157* O157*P157) / (1000*1000*1000)</f>
        <v>0.13</v>
      </c>
      <c r="R157" s="176" t="s">
        <v>62</v>
      </c>
      <c r="S157" s="176">
        <f>F157*P157</f>
        <v>0</v>
      </c>
      <c r="T157" s="176">
        <f>0*P157</f>
        <v>0</v>
      </c>
      <c r="U157" s="178"/>
      <c r="V157" s="179" t="s">
        <v>383</v>
      </c>
      <c r="W157" s="82"/>
      <c r="X157" s="83"/>
      <c r="Y157" s="84"/>
      <c r="Z157" s="82"/>
      <c r="AA157" s="84"/>
      <c r="AB157" s="84"/>
      <c r="AC157" s="84"/>
    </row>
    <row r="158" spans="1:29" x14ac:dyDescent="0.25">
      <c r="A158" s="174"/>
      <c r="B158" s="180"/>
      <c r="C158" s="180"/>
      <c r="D158" s="180"/>
      <c r="E158" s="180"/>
      <c r="F158" s="180"/>
      <c r="G158" s="180"/>
      <c r="H158" s="180"/>
      <c r="I158" s="180"/>
      <c r="J158" s="181"/>
      <c r="K158" s="180"/>
      <c r="L158" s="180"/>
      <c r="M158" s="180"/>
      <c r="N158" s="180"/>
      <c r="O158" s="180"/>
      <c r="P158" s="180"/>
      <c r="Q158" s="180"/>
      <c r="R158" s="180"/>
      <c r="S158" s="180"/>
      <c r="T158" s="180"/>
      <c r="U158" s="182"/>
      <c r="V158" s="183"/>
    </row>
    <row r="159" spans="1:29" x14ac:dyDescent="0.25">
      <c r="A159" s="174" t="s">
        <v>301</v>
      </c>
      <c r="B159" s="175" t="s">
        <v>298</v>
      </c>
      <c r="C159" s="176" t="s">
        <v>65</v>
      </c>
      <c r="D159" s="176" t="s">
        <v>302</v>
      </c>
      <c r="E159" s="176" t="s">
        <v>303</v>
      </c>
      <c r="F159" s="176">
        <v>0</v>
      </c>
      <c r="G159" s="176">
        <f>F159*J159</f>
        <v>0</v>
      </c>
      <c r="H159" s="176">
        <v>0.05</v>
      </c>
      <c r="I159" s="176">
        <f>H159*J159</f>
        <v>0.9</v>
      </c>
      <c r="J159" s="177">
        <v>18</v>
      </c>
      <c r="K159" s="176">
        <v>400</v>
      </c>
      <c r="L159" s="176" t="s">
        <v>61</v>
      </c>
      <c r="M159" s="176">
        <v>1280</v>
      </c>
      <c r="N159" s="176" t="s">
        <v>61</v>
      </c>
      <c r="O159" s="176">
        <v>200</v>
      </c>
      <c r="P159" s="176">
        <v>18</v>
      </c>
      <c r="Q159" s="176">
        <f>(K159* M159* O159*P159) / (1000*1000*1000)</f>
        <v>1.84</v>
      </c>
      <c r="R159" s="176" t="s">
        <v>62</v>
      </c>
      <c r="S159" s="176">
        <f>F159*P159</f>
        <v>0</v>
      </c>
      <c r="T159" s="176">
        <f>0*P159</f>
        <v>0</v>
      </c>
      <c r="U159" s="178"/>
      <c r="V159" s="179" t="s">
        <v>383</v>
      </c>
      <c r="W159" s="82"/>
      <c r="X159" s="83"/>
      <c r="Y159" s="84"/>
      <c r="Z159" s="82"/>
      <c r="AA159" s="84"/>
      <c r="AB159" s="84"/>
      <c r="AC159" s="84"/>
    </row>
    <row r="160" spans="1:29" x14ac:dyDescent="0.25">
      <c r="A160" s="174"/>
      <c r="B160" s="180"/>
      <c r="C160" s="180"/>
      <c r="D160" s="180"/>
      <c r="E160" s="180"/>
      <c r="F160" s="180"/>
      <c r="G160" s="180"/>
      <c r="H160" s="180"/>
      <c r="I160" s="180"/>
      <c r="J160" s="181"/>
      <c r="K160" s="180"/>
      <c r="L160" s="180"/>
      <c r="M160" s="180"/>
      <c r="N160" s="180"/>
      <c r="O160" s="180"/>
      <c r="P160" s="180"/>
      <c r="Q160" s="180"/>
      <c r="R160" s="180"/>
      <c r="S160" s="180"/>
      <c r="T160" s="180"/>
      <c r="U160" s="182"/>
      <c r="V160" s="183"/>
    </row>
    <row r="161" spans="1:29" x14ac:dyDescent="0.25">
      <c r="A161" s="174" t="s">
        <v>304</v>
      </c>
      <c r="B161" s="175" t="s">
        <v>298</v>
      </c>
      <c r="C161" s="176" t="s">
        <v>65</v>
      </c>
      <c r="D161" s="176" t="s">
        <v>305</v>
      </c>
      <c r="E161" s="176" t="s">
        <v>306</v>
      </c>
      <c r="F161" s="176">
        <v>0</v>
      </c>
      <c r="G161" s="176">
        <f>F161*J161</f>
        <v>0</v>
      </c>
      <c r="H161" s="176">
        <v>0.08</v>
      </c>
      <c r="I161" s="176">
        <f>H161*J161</f>
        <v>0.96</v>
      </c>
      <c r="J161" s="177">
        <v>12</v>
      </c>
      <c r="K161" s="176">
        <v>400</v>
      </c>
      <c r="L161" s="176" t="s">
        <v>61</v>
      </c>
      <c r="M161" s="176">
        <v>1910</v>
      </c>
      <c r="N161" s="176" t="s">
        <v>61</v>
      </c>
      <c r="O161" s="176">
        <v>200</v>
      </c>
      <c r="P161" s="176">
        <v>12</v>
      </c>
      <c r="Q161" s="176">
        <f>(K161* M161* O161*P161) / (1000*1000*1000)</f>
        <v>1.83</v>
      </c>
      <c r="R161" s="176" t="s">
        <v>62</v>
      </c>
      <c r="S161" s="176">
        <f>F161*P161</f>
        <v>0</v>
      </c>
      <c r="T161" s="176">
        <f>0*P161</f>
        <v>0</v>
      </c>
      <c r="U161" s="178"/>
      <c r="V161" s="179" t="s">
        <v>383</v>
      </c>
      <c r="W161" s="82"/>
      <c r="X161" s="83"/>
      <c r="Y161" s="84"/>
      <c r="Z161" s="82"/>
      <c r="AA161" s="84"/>
      <c r="AB161" s="84"/>
      <c r="AC161" s="84"/>
    </row>
    <row r="162" spans="1:29" x14ac:dyDescent="0.25">
      <c r="A162" s="79"/>
      <c r="B162" s="113"/>
      <c r="C162" s="113"/>
      <c r="D162" s="113"/>
      <c r="E162" s="113"/>
      <c r="F162" s="113"/>
      <c r="G162" s="113"/>
      <c r="H162" s="113"/>
      <c r="I162" s="113"/>
      <c r="J162" s="114"/>
      <c r="K162" s="113"/>
      <c r="L162" s="113"/>
      <c r="M162" s="113"/>
      <c r="N162" s="113"/>
      <c r="O162" s="113"/>
      <c r="P162" s="113"/>
      <c r="Q162" s="113"/>
      <c r="R162" s="113"/>
      <c r="S162" s="113"/>
      <c r="T162" s="113"/>
      <c r="U162" s="115"/>
      <c r="V162" s="80"/>
    </row>
    <row r="163" spans="1:29" ht="18.75" x14ac:dyDescent="0.3">
      <c r="A163" s="79"/>
      <c r="B163" s="135" t="s">
        <v>307</v>
      </c>
      <c r="C163" s="113"/>
      <c r="D163" s="113"/>
      <c r="E163" s="113"/>
      <c r="F163" s="113"/>
      <c r="G163" s="113"/>
      <c r="H163" s="113"/>
      <c r="I163" s="113"/>
      <c r="J163" s="114"/>
      <c r="K163" s="113"/>
      <c r="L163" s="113"/>
      <c r="M163" s="113"/>
      <c r="N163" s="113"/>
      <c r="O163" s="113"/>
      <c r="P163" s="113"/>
      <c r="Q163" s="113"/>
      <c r="R163" s="113"/>
      <c r="S163" s="113"/>
      <c r="T163" s="113"/>
      <c r="U163" s="115"/>
      <c r="V163" s="80"/>
    </row>
    <row r="164" spans="1:29" ht="6" customHeight="1" x14ac:dyDescent="0.25">
      <c r="A164" s="79"/>
      <c r="B164" s="113"/>
      <c r="C164" s="113"/>
      <c r="D164" s="113"/>
      <c r="E164" s="113"/>
      <c r="F164" s="113"/>
      <c r="G164" s="113"/>
      <c r="H164" s="113"/>
      <c r="I164" s="113"/>
      <c r="J164" s="114"/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5"/>
      <c r="V164" s="80"/>
    </row>
    <row r="165" spans="1:29" x14ac:dyDescent="0.25">
      <c r="A165" s="79" t="s">
        <v>308</v>
      </c>
      <c r="B165" s="131" t="s">
        <v>194</v>
      </c>
      <c r="C165" s="132" t="s">
        <v>65</v>
      </c>
      <c r="D165" s="132" t="s">
        <v>195</v>
      </c>
      <c r="E165" s="132" t="s">
        <v>196</v>
      </c>
      <c r="F165" s="132">
        <v>75</v>
      </c>
      <c r="G165" s="132">
        <f>F165*J165</f>
        <v>150</v>
      </c>
      <c r="H165" s="132">
        <v>0.85000000000000009</v>
      </c>
      <c r="I165" s="132">
        <f>H165*J165</f>
        <v>1.7</v>
      </c>
      <c r="J165" s="133">
        <v>2</v>
      </c>
      <c r="K165" s="132">
        <v>900</v>
      </c>
      <c r="L165" s="132" t="s">
        <v>61</v>
      </c>
      <c r="M165" s="132">
        <v>890</v>
      </c>
      <c r="N165" s="132" t="s">
        <v>61</v>
      </c>
      <c r="O165" s="132">
        <v>1500</v>
      </c>
      <c r="P165" s="132">
        <v>2</v>
      </c>
      <c r="Q165" s="132">
        <f>(K165* M165* O165*P165) / (1000*1000*1000)</f>
        <v>2.4</v>
      </c>
      <c r="R165" s="132" t="s">
        <v>62</v>
      </c>
      <c r="S165" s="132">
        <f>F165*P165</f>
        <v>150</v>
      </c>
      <c r="T165" s="132">
        <f>85*P165</f>
        <v>170</v>
      </c>
      <c r="U165" s="134">
        <v>301</v>
      </c>
      <c r="V165" s="81">
        <f>U165*J165</f>
        <v>602</v>
      </c>
      <c r="W165" s="82"/>
      <c r="X165" s="83"/>
      <c r="Y165" s="84"/>
      <c r="Z165" s="82"/>
      <c r="AA165" s="84"/>
      <c r="AB165" s="84"/>
      <c r="AC165" s="84"/>
    </row>
    <row r="166" spans="1:29" x14ac:dyDescent="0.25">
      <c r="A166" s="79"/>
      <c r="B166" s="113"/>
      <c r="C166" s="113"/>
      <c r="D166" s="113"/>
      <c r="E166" s="113"/>
      <c r="F166" s="113"/>
      <c r="G166" s="113"/>
      <c r="H166" s="113"/>
      <c r="I166" s="113"/>
      <c r="J166" s="114"/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5"/>
      <c r="V166" s="80"/>
    </row>
    <row r="167" spans="1:29" x14ac:dyDescent="0.25">
      <c r="A167" s="79" t="s">
        <v>309</v>
      </c>
      <c r="B167" s="131" t="s">
        <v>310</v>
      </c>
      <c r="C167" s="132" t="s">
        <v>65</v>
      </c>
      <c r="D167" s="132" t="s">
        <v>311</v>
      </c>
      <c r="E167" s="132" t="s">
        <v>312</v>
      </c>
      <c r="F167" s="132">
        <v>0</v>
      </c>
      <c r="G167" s="132">
        <f>F167*J167</f>
        <v>0</v>
      </c>
      <c r="H167" s="132">
        <v>0.03</v>
      </c>
      <c r="I167" s="132">
        <f>H167*J167</f>
        <v>0.12</v>
      </c>
      <c r="J167" s="133">
        <v>4</v>
      </c>
      <c r="K167" s="132">
        <v>460</v>
      </c>
      <c r="L167" s="132" t="s">
        <v>61</v>
      </c>
      <c r="M167" s="132">
        <v>500</v>
      </c>
      <c r="N167" s="132" t="s">
        <v>61</v>
      </c>
      <c r="O167" s="132">
        <v>350</v>
      </c>
      <c r="P167" s="132">
        <v>4</v>
      </c>
      <c r="Q167" s="132">
        <f>(K167* M167* O167*P167) / (1000*1000*1000)</f>
        <v>0.32</v>
      </c>
      <c r="R167" s="132" t="s">
        <v>62</v>
      </c>
      <c r="S167" s="132">
        <f>F167*P167</f>
        <v>0</v>
      </c>
      <c r="T167" s="132">
        <f>0*P167</f>
        <v>0</v>
      </c>
      <c r="U167" s="134">
        <v>53.75</v>
      </c>
      <c r="V167" s="81">
        <f>U167*J167</f>
        <v>215</v>
      </c>
      <c r="W167" s="82"/>
      <c r="X167" s="83"/>
      <c r="Y167" s="84"/>
      <c r="Z167" s="82"/>
      <c r="AA167" s="84"/>
      <c r="AB167" s="84"/>
      <c r="AC167" s="84"/>
    </row>
    <row r="168" spans="1:29" x14ac:dyDescent="0.25">
      <c r="A168" s="79"/>
      <c r="B168" s="113"/>
      <c r="C168" s="113"/>
      <c r="D168" s="113"/>
      <c r="E168" s="113"/>
      <c r="F168" s="113"/>
      <c r="G168" s="113"/>
      <c r="H168" s="113"/>
      <c r="I168" s="113"/>
      <c r="J168" s="114"/>
      <c r="K168" s="113"/>
      <c r="L168" s="113"/>
      <c r="M168" s="113"/>
      <c r="N168" s="113"/>
      <c r="O168" s="113"/>
      <c r="P168" s="113"/>
      <c r="Q168" s="113"/>
      <c r="R168" s="113"/>
      <c r="S168" s="113"/>
      <c r="T168" s="113"/>
      <c r="U168" s="115"/>
      <c r="V168" s="80"/>
    </row>
    <row r="169" spans="1:29" x14ac:dyDescent="0.25">
      <c r="A169" s="79" t="s">
        <v>313</v>
      </c>
      <c r="B169" s="131" t="s">
        <v>197</v>
      </c>
      <c r="C169" s="132" t="s">
        <v>65</v>
      </c>
      <c r="D169" s="132" t="s">
        <v>314</v>
      </c>
      <c r="E169" s="132" t="s">
        <v>315</v>
      </c>
      <c r="F169" s="132">
        <v>79</v>
      </c>
      <c r="G169" s="132">
        <f>F169*J169</f>
        <v>158</v>
      </c>
      <c r="H169" s="132">
        <v>1.01</v>
      </c>
      <c r="I169" s="132">
        <f>H169*J169</f>
        <v>2.02</v>
      </c>
      <c r="J169" s="133">
        <v>2</v>
      </c>
      <c r="K169" s="132">
        <v>1600</v>
      </c>
      <c r="L169" s="132" t="s">
        <v>61</v>
      </c>
      <c r="M169" s="132">
        <v>890</v>
      </c>
      <c r="N169" s="132" t="s">
        <v>61</v>
      </c>
      <c r="O169" s="132">
        <v>1000</v>
      </c>
      <c r="P169" s="132">
        <v>2</v>
      </c>
      <c r="Q169" s="132">
        <f>(K169* M169* O169*P169) / (1000*1000*1000)</f>
        <v>2.85</v>
      </c>
      <c r="R169" s="132" t="s">
        <v>62</v>
      </c>
      <c r="S169" s="132">
        <f>F169*P169</f>
        <v>158</v>
      </c>
      <c r="T169" s="132">
        <f>89*P169</f>
        <v>178</v>
      </c>
      <c r="U169" s="134">
        <v>586.94999999999993</v>
      </c>
      <c r="V169" s="81">
        <f>U169*J169</f>
        <v>1173.9000000000001</v>
      </c>
      <c r="W169" s="82"/>
      <c r="X169" s="83"/>
      <c r="Y169" s="84"/>
      <c r="Z169" s="82"/>
      <c r="AA169" s="84"/>
      <c r="AB169" s="84"/>
      <c r="AC169" s="84"/>
    </row>
    <row r="170" spans="1:29" x14ac:dyDescent="0.25">
      <c r="A170" s="79"/>
      <c r="B170" s="113"/>
      <c r="C170" s="113"/>
      <c r="D170" s="113"/>
      <c r="E170" s="113"/>
      <c r="F170" s="113"/>
      <c r="G170" s="113"/>
      <c r="H170" s="113"/>
      <c r="I170" s="113"/>
      <c r="J170" s="114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5"/>
      <c r="V170" s="80"/>
    </row>
    <row r="171" spans="1:29" x14ac:dyDescent="0.25">
      <c r="A171" s="79" t="s">
        <v>316</v>
      </c>
      <c r="B171" s="131" t="s">
        <v>317</v>
      </c>
      <c r="C171" s="132" t="s">
        <v>65</v>
      </c>
      <c r="D171" s="132" t="s">
        <v>318</v>
      </c>
      <c r="E171" s="132" t="s">
        <v>319</v>
      </c>
      <c r="F171" s="132">
        <v>0</v>
      </c>
      <c r="G171" s="132">
        <f>F171*J171</f>
        <v>0</v>
      </c>
      <c r="H171" s="132">
        <v>0.25</v>
      </c>
      <c r="I171" s="132">
        <f>H171*J171</f>
        <v>0.5</v>
      </c>
      <c r="J171" s="133">
        <v>2</v>
      </c>
      <c r="K171" s="132">
        <v>1600</v>
      </c>
      <c r="L171" s="132" t="s">
        <v>61</v>
      </c>
      <c r="M171" s="132">
        <v>540</v>
      </c>
      <c r="N171" s="132" t="s">
        <v>61</v>
      </c>
      <c r="O171" s="132">
        <v>525</v>
      </c>
      <c r="P171" s="132">
        <v>2</v>
      </c>
      <c r="Q171" s="132">
        <f>(K171* M171* O171*P171) / (1000*1000*1000)</f>
        <v>0.91</v>
      </c>
      <c r="R171" s="132" t="s">
        <v>62</v>
      </c>
      <c r="S171" s="132">
        <f>F171*P171</f>
        <v>0</v>
      </c>
      <c r="T171" s="132">
        <f>0*P171</f>
        <v>0</v>
      </c>
      <c r="U171" s="134">
        <v>184.9</v>
      </c>
      <c r="V171" s="81">
        <f>U171*J171</f>
        <v>369.8</v>
      </c>
      <c r="W171" s="82"/>
      <c r="X171" s="83"/>
      <c r="Y171" s="84"/>
      <c r="Z171" s="82"/>
      <c r="AA171" s="84"/>
      <c r="AB171" s="84"/>
      <c r="AC171" s="84"/>
    </row>
    <row r="172" spans="1:29" x14ac:dyDescent="0.25">
      <c r="A172" s="79"/>
      <c r="B172" s="113"/>
      <c r="C172" s="113"/>
      <c r="D172" s="113"/>
      <c r="E172" s="113"/>
      <c r="F172" s="113"/>
      <c r="G172" s="113"/>
      <c r="H172" s="113"/>
      <c r="I172" s="113"/>
      <c r="J172" s="114"/>
      <c r="K172" s="113"/>
      <c r="L172" s="113"/>
      <c r="M172" s="113"/>
      <c r="N172" s="113"/>
      <c r="O172" s="113"/>
      <c r="P172" s="113"/>
      <c r="Q172" s="113"/>
      <c r="R172" s="113"/>
      <c r="S172" s="113"/>
      <c r="T172" s="113"/>
      <c r="U172" s="115"/>
      <c r="V172" s="80"/>
    </row>
    <row r="173" spans="1:29" x14ac:dyDescent="0.25">
      <c r="A173" s="79" t="s">
        <v>320</v>
      </c>
      <c r="B173" s="131" t="s">
        <v>321</v>
      </c>
      <c r="C173" s="132" t="s">
        <v>65</v>
      </c>
      <c r="D173" s="132" t="s">
        <v>322</v>
      </c>
      <c r="E173" s="132" t="s">
        <v>323</v>
      </c>
      <c r="F173" s="132">
        <v>0</v>
      </c>
      <c r="G173" s="132">
        <f>F173*J173</f>
        <v>0</v>
      </c>
      <c r="H173" s="132">
        <v>0</v>
      </c>
      <c r="I173" s="132">
        <f>H173*J173</f>
        <v>0</v>
      </c>
      <c r="J173" s="133">
        <v>2</v>
      </c>
      <c r="K173" s="132">
        <v>1600</v>
      </c>
      <c r="L173" s="132" t="s">
        <v>61</v>
      </c>
      <c r="M173" s="132">
        <v>100</v>
      </c>
      <c r="N173" s="132" t="s">
        <v>61</v>
      </c>
      <c r="O173" s="132">
        <v>150</v>
      </c>
      <c r="P173" s="132">
        <v>2</v>
      </c>
      <c r="Q173" s="132">
        <f>(K173* M173* O173*P173) / (1000*1000*1000)</f>
        <v>0.05</v>
      </c>
      <c r="R173" s="132" t="s">
        <v>62</v>
      </c>
      <c r="S173" s="132">
        <f>F173*P173</f>
        <v>0</v>
      </c>
      <c r="T173" s="132">
        <f>0*P173</f>
        <v>0</v>
      </c>
      <c r="U173" s="134">
        <v>124.7</v>
      </c>
      <c r="V173" s="81">
        <f>U173*J173</f>
        <v>249.4</v>
      </c>
      <c r="W173" s="82"/>
      <c r="X173" s="83"/>
      <c r="Y173" s="84"/>
      <c r="Z173" s="82"/>
      <c r="AA173" s="84"/>
      <c r="AB173" s="84"/>
      <c r="AC173" s="84"/>
    </row>
    <row r="174" spans="1:29" x14ac:dyDescent="0.25">
      <c r="A174" s="79"/>
      <c r="B174" s="113"/>
      <c r="C174" s="113"/>
      <c r="D174" s="113"/>
      <c r="E174" s="113"/>
      <c r="F174" s="113"/>
      <c r="G174" s="113"/>
      <c r="H174" s="113"/>
      <c r="I174" s="113"/>
      <c r="J174" s="114"/>
      <c r="K174" s="113"/>
      <c r="L174" s="113"/>
      <c r="M174" s="113"/>
      <c r="N174" s="113"/>
      <c r="O174" s="113"/>
      <c r="P174" s="113"/>
      <c r="Q174" s="113"/>
      <c r="R174" s="113"/>
      <c r="S174" s="113"/>
      <c r="T174" s="113"/>
      <c r="U174" s="115"/>
      <c r="V174" s="80"/>
    </row>
    <row r="175" spans="1:29" ht="15.75" thickBot="1" x14ac:dyDescent="0.3">
      <c r="A175" s="136" t="s">
        <v>324</v>
      </c>
      <c r="B175" s="147" t="s">
        <v>204</v>
      </c>
      <c r="C175" s="148" t="s">
        <v>65</v>
      </c>
      <c r="D175" s="148" t="s">
        <v>325</v>
      </c>
      <c r="E175" s="148" t="s">
        <v>326</v>
      </c>
      <c r="F175" s="148"/>
      <c r="G175" s="148">
        <f>F175*J175</f>
        <v>0</v>
      </c>
      <c r="H175" s="148">
        <v>1.1000000000000001</v>
      </c>
      <c r="I175" s="148">
        <f>H175*J175</f>
        <v>2.2000000000000002</v>
      </c>
      <c r="J175" s="149">
        <v>2</v>
      </c>
      <c r="K175" s="148"/>
      <c r="L175" s="148" t="s">
        <v>61</v>
      </c>
      <c r="M175" s="148"/>
      <c r="N175" s="148" t="s">
        <v>61</v>
      </c>
      <c r="O175" s="148"/>
      <c r="P175" s="148">
        <v>2</v>
      </c>
      <c r="Q175" s="148">
        <f>(K175* M175* O175*P175) / (1000*1000*1000)</f>
        <v>0</v>
      </c>
      <c r="R175" s="148" t="s">
        <v>62</v>
      </c>
      <c r="S175" s="148">
        <f>F175*P175</f>
        <v>0</v>
      </c>
      <c r="T175" s="148">
        <f>0*P175</f>
        <v>0</v>
      </c>
      <c r="U175" s="150">
        <v>438.6</v>
      </c>
      <c r="V175" s="151">
        <f>U175*J175</f>
        <v>877.2</v>
      </c>
      <c r="W175" s="82"/>
      <c r="X175" s="83"/>
      <c r="Y175" s="84"/>
      <c r="Z175" s="82"/>
      <c r="AA175" s="84"/>
      <c r="AB175" s="84"/>
      <c r="AC175" s="84"/>
    </row>
    <row r="176" spans="1:29" ht="8.25" customHeight="1" x14ac:dyDescent="0.25">
      <c r="A176" s="141"/>
      <c r="B176" s="143"/>
      <c r="C176" s="143"/>
      <c r="D176" s="143"/>
      <c r="E176" s="143"/>
      <c r="F176" s="143"/>
      <c r="G176" s="143"/>
      <c r="H176" s="143"/>
      <c r="I176" s="143"/>
      <c r="J176" s="144"/>
      <c r="K176" s="143"/>
      <c r="L176" s="143"/>
      <c r="M176" s="143"/>
      <c r="N176" s="143"/>
      <c r="O176" s="143"/>
      <c r="P176" s="143"/>
      <c r="Q176" s="143"/>
      <c r="R176" s="143"/>
      <c r="S176" s="143"/>
      <c r="T176" s="143"/>
      <c r="U176" s="145"/>
      <c r="V176" s="146"/>
    </row>
    <row r="177" spans="1:29" x14ac:dyDescent="0.25">
      <c r="A177" s="79" t="s">
        <v>327</v>
      </c>
      <c r="B177" s="131" t="s">
        <v>208</v>
      </c>
      <c r="C177" s="132" t="s">
        <v>65</v>
      </c>
      <c r="D177" s="132" t="s">
        <v>328</v>
      </c>
      <c r="E177" s="132" t="s">
        <v>329</v>
      </c>
      <c r="F177" s="132">
        <v>70</v>
      </c>
      <c r="G177" s="132">
        <f>F177*J177</f>
        <v>140</v>
      </c>
      <c r="H177" s="132">
        <v>0.60000000000000009</v>
      </c>
      <c r="I177" s="132">
        <f>H177*J177</f>
        <v>1.2</v>
      </c>
      <c r="J177" s="133">
        <v>2</v>
      </c>
      <c r="K177" s="132">
        <v>1000</v>
      </c>
      <c r="L177" s="132" t="s">
        <v>61</v>
      </c>
      <c r="M177" s="132">
        <v>890</v>
      </c>
      <c r="N177" s="132" t="s">
        <v>61</v>
      </c>
      <c r="O177" s="132">
        <v>1000</v>
      </c>
      <c r="P177" s="132">
        <v>2</v>
      </c>
      <c r="Q177" s="132">
        <f>(K177* M177* O177*P177) / (1000*1000*1000)</f>
        <v>1.78</v>
      </c>
      <c r="R177" s="132" t="s">
        <v>62</v>
      </c>
      <c r="S177" s="132">
        <f>F177*P177</f>
        <v>140</v>
      </c>
      <c r="T177" s="132">
        <f>80*P177</f>
        <v>160</v>
      </c>
      <c r="U177" s="134">
        <v>225.75</v>
      </c>
      <c r="V177" s="81">
        <f>U177*J177</f>
        <v>451.5</v>
      </c>
      <c r="W177" s="82"/>
      <c r="X177" s="83"/>
      <c r="Y177" s="84"/>
      <c r="Z177" s="82"/>
      <c r="AA177" s="84"/>
      <c r="AB177" s="84"/>
      <c r="AC177" s="84"/>
    </row>
    <row r="178" spans="1:29" x14ac:dyDescent="0.25">
      <c r="A178" s="79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3"/>
      <c r="R178" s="113"/>
      <c r="S178" s="113"/>
      <c r="T178" s="113"/>
      <c r="U178" s="115"/>
      <c r="V178" s="80"/>
    </row>
    <row r="179" spans="1:29" x14ac:dyDescent="0.25">
      <c r="A179" s="79" t="s">
        <v>330</v>
      </c>
      <c r="B179" s="131" t="s">
        <v>331</v>
      </c>
      <c r="C179" s="132" t="s">
        <v>65</v>
      </c>
      <c r="D179" s="132" t="s">
        <v>332</v>
      </c>
      <c r="E179" s="132" t="s">
        <v>333</v>
      </c>
      <c r="F179" s="132">
        <v>0</v>
      </c>
      <c r="G179" s="132">
        <f>F179*J179</f>
        <v>0</v>
      </c>
      <c r="H179" s="132">
        <v>0.15000000000000002</v>
      </c>
      <c r="I179" s="132">
        <f>H179*J179</f>
        <v>0.3</v>
      </c>
      <c r="J179" s="133">
        <v>2</v>
      </c>
      <c r="K179" s="132">
        <v>1000</v>
      </c>
      <c r="L179" s="132" t="s">
        <v>61</v>
      </c>
      <c r="M179" s="132">
        <v>540</v>
      </c>
      <c r="N179" s="132" t="s">
        <v>61</v>
      </c>
      <c r="O179" s="132">
        <v>525</v>
      </c>
      <c r="P179" s="132">
        <v>2</v>
      </c>
      <c r="Q179" s="132">
        <f>(K179* M179* O179*P179) / (1000*1000*1000)</f>
        <v>0.56999999999999995</v>
      </c>
      <c r="R179" s="132" t="s">
        <v>62</v>
      </c>
      <c r="S179" s="132">
        <f>F179*P179</f>
        <v>0</v>
      </c>
      <c r="T179" s="132">
        <f>0*P179</f>
        <v>0</v>
      </c>
      <c r="U179" s="134">
        <v>159.1</v>
      </c>
      <c r="V179" s="81">
        <f>U179*J179</f>
        <v>318.2</v>
      </c>
      <c r="W179" s="82"/>
      <c r="X179" s="83"/>
      <c r="Y179" s="84"/>
      <c r="Z179" s="82"/>
      <c r="AA179" s="84"/>
      <c r="AB179" s="84"/>
      <c r="AC179" s="84"/>
    </row>
    <row r="180" spans="1:29" x14ac:dyDescent="0.25">
      <c r="A180" s="79"/>
      <c r="B180" s="113"/>
      <c r="C180" s="113"/>
      <c r="D180" s="113"/>
      <c r="E180" s="113"/>
      <c r="F180" s="113"/>
      <c r="G180" s="113"/>
      <c r="H180" s="113"/>
      <c r="I180" s="113"/>
      <c r="J180" s="114"/>
      <c r="K180" s="113"/>
      <c r="L180" s="113"/>
      <c r="M180" s="113"/>
      <c r="N180" s="113"/>
      <c r="O180" s="113"/>
      <c r="P180" s="113"/>
      <c r="Q180" s="113"/>
      <c r="R180" s="113"/>
      <c r="S180" s="113"/>
      <c r="T180" s="113"/>
      <c r="U180" s="115"/>
      <c r="V180" s="80"/>
    </row>
    <row r="181" spans="1:29" x14ac:dyDescent="0.25">
      <c r="A181" s="79" t="s">
        <v>334</v>
      </c>
      <c r="B181" s="131" t="s">
        <v>335</v>
      </c>
      <c r="C181" s="132" t="s">
        <v>65</v>
      </c>
      <c r="D181" s="132" t="s">
        <v>336</v>
      </c>
      <c r="E181" s="132" t="s">
        <v>337</v>
      </c>
      <c r="F181" s="132"/>
      <c r="G181" s="132">
        <f>F181*J181</f>
        <v>0</v>
      </c>
      <c r="H181" s="132">
        <v>1.9</v>
      </c>
      <c r="I181" s="132">
        <f>H181*J181</f>
        <v>3.8</v>
      </c>
      <c r="J181" s="133">
        <v>2</v>
      </c>
      <c r="K181" s="132"/>
      <c r="L181" s="132" t="s">
        <v>61</v>
      </c>
      <c r="M181" s="132"/>
      <c r="N181" s="132" t="s">
        <v>61</v>
      </c>
      <c r="O181" s="132"/>
      <c r="P181" s="132">
        <v>2</v>
      </c>
      <c r="Q181" s="132">
        <f>(K181* M181* O181*P181) / (1000*1000*1000)</f>
        <v>0</v>
      </c>
      <c r="R181" s="132" t="s">
        <v>62</v>
      </c>
      <c r="S181" s="132">
        <f>F181*P181</f>
        <v>0</v>
      </c>
      <c r="T181" s="132">
        <f>0*P181</f>
        <v>0</v>
      </c>
      <c r="U181" s="134">
        <v>1881.25</v>
      </c>
      <c r="V181" s="81">
        <f>U181*J181</f>
        <v>3762.5</v>
      </c>
      <c r="W181" s="82"/>
      <c r="X181" s="83"/>
      <c r="Y181" s="84"/>
      <c r="Z181" s="82"/>
      <c r="AA181" s="84"/>
      <c r="AB181" s="84"/>
      <c r="AC181" s="84"/>
    </row>
    <row r="182" spans="1:29" x14ac:dyDescent="0.25">
      <c r="A182" s="79"/>
      <c r="B182" s="113"/>
      <c r="C182" s="113"/>
      <c r="D182" s="113"/>
      <c r="E182" s="113"/>
      <c r="F182" s="113"/>
      <c r="G182" s="113"/>
      <c r="H182" s="113"/>
      <c r="I182" s="113"/>
      <c r="J182" s="114"/>
      <c r="K182" s="113"/>
      <c r="L182" s="113"/>
      <c r="M182" s="113"/>
      <c r="N182" s="113"/>
      <c r="O182" s="113"/>
      <c r="P182" s="113"/>
      <c r="Q182" s="113"/>
      <c r="R182" s="113"/>
      <c r="S182" s="113"/>
      <c r="T182" s="113"/>
      <c r="U182" s="115"/>
      <c r="V182" s="80"/>
    </row>
    <row r="183" spans="1:29" x14ac:dyDescent="0.25">
      <c r="A183" s="79" t="s">
        <v>338</v>
      </c>
      <c r="B183" s="131" t="s">
        <v>339</v>
      </c>
      <c r="C183" s="132" t="s">
        <v>65</v>
      </c>
      <c r="D183" s="132" t="s">
        <v>340</v>
      </c>
      <c r="E183" s="132" t="s">
        <v>341</v>
      </c>
      <c r="F183" s="132"/>
      <c r="G183" s="132">
        <f>F183*J183</f>
        <v>0</v>
      </c>
      <c r="H183" s="132">
        <v>0.51</v>
      </c>
      <c r="I183" s="132">
        <f>H183*J183</f>
        <v>0.51</v>
      </c>
      <c r="J183" s="133">
        <v>1</v>
      </c>
      <c r="K183" s="132"/>
      <c r="L183" s="132" t="s">
        <v>61</v>
      </c>
      <c r="M183" s="132"/>
      <c r="N183" s="132" t="s">
        <v>61</v>
      </c>
      <c r="O183" s="132"/>
      <c r="P183" s="132">
        <v>1</v>
      </c>
      <c r="Q183" s="132">
        <f>(K183* M183* O183*P183) / (1000*1000*1000)</f>
        <v>0</v>
      </c>
      <c r="R183" s="132" t="s">
        <v>62</v>
      </c>
      <c r="S183" s="132">
        <f>F183*P183</f>
        <v>0</v>
      </c>
      <c r="T183" s="132">
        <f>0*P183</f>
        <v>0</v>
      </c>
      <c r="U183" s="134">
        <v>215.37</v>
      </c>
      <c r="V183" s="81">
        <f>U183*J183</f>
        <v>215.37</v>
      </c>
      <c r="W183" s="82"/>
      <c r="X183" s="83"/>
      <c r="Y183" s="84"/>
      <c r="Z183" s="82"/>
      <c r="AA183" s="84"/>
      <c r="AB183" s="84"/>
      <c r="AC183" s="84"/>
    </row>
    <row r="184" spans="1:29" x14ac:dyDescent="0.25">
      <c r="A184" s="79"/>
      <c r="B184" s="113"/>
      <c r="C184" s="113"/>
      <c r="D184" s="113"/>
      <c r="E184" s="113"/>
      <c r="F184" s="113"/>
      <c r="G184" s="113"/>
      <c r="H184" s="113"/>
      <c r="I184" s="113"/>
      <c r="J184" s="114"/>
      <c r="K184" s="113"/>
      <c r="L184" s="113"/>
      <c r="M184" s="113"/>
      <c r="N184" s="113"/>
      <c r="O184" s="113"/>
      <c r="P184" s="113"/>
      <c r="Q184" s="113"/>
      <c r="R184" s="113"/>
      <c r="S184" s="113"/>
      <c r="T184" s="113"/>
      <c r="U184" s="115"/>
      <c r="V184" s="80"/>
    </row>
    <row r="185" spans="1:29" x14ac:dyDescent="0.25">
      <c r="A185" s="79" t="s">
        <v>342</v>
      </c>
      <c r="B185" s="131" t="s">
        <v>343</v>
      </c>
      <c r="C185" s="132" t="s">
        <v>65</v>
      </c>
      <c r="D185" s="132" t="s">
        <v>344</v>
      </c>
      <c r="E185" s="132" t="s">
        <v>113</v>
      </c>
      <c r="F185" s="132">
        <v>0</v>
      </c>
      <c r="G185" s="132">
        <f>F185*J185</f>
        <v>0</v>
      </c>
      <c r="H185" s="132">
        <v>0.95000000000000007</v>
      </c>
      <c r="I185" s="132">
        <f>H185*J185</f>
        <v>0.95</v>
      </c>
      <c r="J185" s="133">
        <v>1</v>
      </c>
      <c r="K185" s="132">
        <v>1700</v>
      </c>
      <c r="L185" s="132" t="s">
        <v>61</v>
      </c>
      <c r="M185" s="132">
        <v>800</v>
      </c>
      <c r="N185" s="132" t="s">
        <v>61</v>
      </c>
      <c r="O185" s="132">
        <v>1000</v>
      </c>
      <c r="P185" s="132">
        <v>1</v>
      </c>
      <c r="Q185" s="132">
        <f>(K185* M185* O185*P185) / (1000*1000*1000)</f>
        <v>1.36</v>
      </c>
      <c r="R185" s="132" t="s">
        <v>62</v>
      </c>
      <c r="S185" s="132">
        <f>F185*P185</f>
        <v>0</v>
      </c>
      <c r="T185" s="132">
        <f>0*P185</f>
        <v>0</v>
      </c>
      <c r="U185" s="134">
        <v>369.8</v>
      </c>
      <c r="V185" s="81">
        <f>U185*J185</f>
        <v>369.8</v>
      </c>
      <c r="W185" s="82"/>
      <c r="X185" s="83"/>
      <c r="Y185" s="84"/>
      <c r="Z185" s="82"/>
      <c r="AA185" s="84"/>
      <c r="AB185" s="84"/>
      <c r="AC185" s="84"/>
    </row>
    <row r="186" spans="1:29" x14ac:dyDescent="0.25">
      <c r="A186" s="79"/>
      <c r="B186" s="113"/>
      <c r="C186" s="113"/>
      <c r="D186" s="113"/>
      <c r="E186" s="113"/>
      <c r="F186" s="113"/>
      <c r="G186" s="113"/>
      <c r="H186" s="113"/>
      <c r="I186" s="113"/>
      <c r="J186" s="114"/>
      <c r="K186" s="113"/>
      <c r="L186" s="113"/>
      <c r="M186" s="113"/>
      <c r="N186" s="113"/>
      <c r="O186" s="113"/>
      <c r="P186" s="113"/>
      <c r="Q186" s="113"/>
      <c r="R186" s="113"/>
      <c r="S186" s="113"/>
      <c r="T186" s="113"/>
      <c r="U186" s="115"/>
      <c r="V186" s="80"/>
    </row>
    <row r="187" spans="1:29" x14ac:dyDescent="0.25">
      <c r="A187" s="79" t="s">
        <v>345</v>
      </c>
      <c r="B187" s="131" t="s">
        <v>346</v>
      </c>
      <c r="C187" s="132" t="s">
        <v>65</v>
      </c>
      <c r="D187" s="132" t="s">
        <v>347</v>
      </c>
      <c r="E187" s="132" t="s">
        <v>348</v>
      </c>
      <c r="F187" s="132">
        <v>111</v>
      </c>
      <c r="G187" s="132">
        <f>F187*J187</f>
        <v>111</v>
      </c>
      <c r="H187" s="132">
        <v>1.1500000000000001</v>
      </c>
      <c r="I187" s="132">
        <f>H187*J187</f>
        <v>1.1499999999999999</v>
      </c>
      <c r="J187" s="133">
        <v>1</v>
      </c>
      <c r="K187" s="132">
        <v>817</v>
      </c>
      <c r="L187" s="132" t="s">
        <v>61</v>
      </c>
      <c r="M187" s="132">
        <v>988</v>
      </c>
      <c r="N187" s="132" t="s">
        <v>61</v>
      </c>
      <c r="O187" s="132">
        <v>1953</v>
      </c>
      <c r="P187" s="132">
        <v>1</v>
      </c>
      <c r="Q187" s="132">
        <f>(K187* M187* O187*P187) / (1000*1000*1000)</f>
        <v>1.58</v>
      </c>
      <c r="R187" s="132" t="s">
        <v>62</v>
      </c>
      <c r="S187" s="132">
        <f>F187*P187</f>
        <v>111</v>
      </c>
      <c r="T187" s="132">
        <f>121*P187</f>
        <v>121</v>
      </c>
      <c r="U187" s="134">
        <v>756.8</v>
      </c>
      <c r="V187" s="81">
        <f>U187*J187</f>
        <v>756.8</v>
      </c>
      <c r="W187" s="82"/>
      <c r="X187" s="83"/>
      <c r="Y187" s="84"/>
      <c r="Z187" s="82"/>
      <c r="AA187" s="84"/>
      <c r="AB187" s="84"/>
      <c r="AC187" s="84"/>
    </row>
    <row r="188" spans="1:29" x14ac:dyDescent="0.25">
      <c r="A188" s="79"/>
      <c r="B188" s="113"/>
      <c r="C188" s="113"/>
      <c r="D188" s="113"/>
      <c r="E188" s="113"/>
      <c r="F188" s="113"/>
      <c r="G188" s="113"/>
      <c r="H188" s="113"/>
      <c r="I188" s="113"/>
      <c r="J188" s="114"/>
      <c r="K188" s="113"/>
      <c r="L188" s="113"/>
      <c r="M188" s="113"/>
      <c r="N188" s="113"/>
      <c r="O188" s="113"/>
      <c r="P188" s="113"/>
      <c r="Q188" s="113"/>
      <c r="R188" s="113"/>
      <c r="S188" s="113"/>
      <c r="T188" s="113"/>
      <c r="U188" s="115"/>
      <c r="V188" s="80"/>
    </row>
    <row r="189" spans="1:29" x14ac:dyDescent="0.25">
      <c r="A189" s="79" t="s">
        <v>349</v>
      </c>
      <c r="B189" s="131" t="s">
        <v>350</v>
      </c>
      <c r="C189" s="132" t="s">
        <v>65</v>
      </c>
      <c r="D189" s="132" t="s">
        <v>351</v>
      </c>
      <c r="E189" s="132" t="s">
        <v>352</v>
      </c>
      <c r="F189" s="132"/>
      <c r="G189" s="132">
        <f>F189*J189</f>
        <v>0</v>
      </c>
      <c r="H189" s="132">
        <v>0.60000000000000009</v>
      </c>
      <c r="I189" s="132">
        <f>H189*J189</f>
        <v>0.6</v>
      </c>
      <c r="J189" s="133">
        <v>1</v>
      </c>
      <c r="K189" s="132"/>
      <c r="L189" s="132" t="s">
        <v>61</v>
      </c>
      <c r="M189" s="132"/>
      <c r="N189" s="132" t="s">
        <v>61</v>
      </c>
      <c r="O189" s="132"/>
      <c r="P189" s="132">
        <v>1</v>
      </c>
      <c r="Q189" s="132">
        <f>(K189* M189* O189*P189) / (1000*1000*1000)</f>
        <v>0</v>
      </c>
      <c r="R189" s="132" t="s">
        <v>62</v>
      </c>
      <c r="S189" s="132">
        <f>F189*P189</f>
        <v>0</v>
      </c>
      <c r="T189" s="132">
        <f>0*P189</f>
        <v>0</v>
      </c>
      <c r="U189" s="134">
        <v>232.19</v>
      </c>
      <c r="V189" s="81">
        <f>U189*J189</f>
        <v>232.19</v>
      </c>
      <c r="W189" s="82"/>
      <c r="X189" s="83"/>
      <c r="Y189" s="84"/>
      <c r="Z189" s="82"/>
      <c r="AA189" s="84"/>
      <c r="AB189" s="84"/>
      <c r="AC189" s="84"/>
    </row>
    <row r="190" spans="1:29" x14ac:dyDescent="0.25">
      <c r="A190" s="79"/>
      <c r="B190" s="113"/>
      <c r="C190" s="113"/>
      <c r="D190" s="113"/>
      <c r="E190" s="113"/>
      <c r="F190" s="113"/>
      <c r="G190" s="113"/>
      <c r="H190" s="113"/>
      <c r="I190" s="113"/>
      <c r="J190" s="114"/>
      <c r="K190" s="113"/>
      <c r="L190" s="113"/>
      <c r="M190" s="113"/>
      <c r="N190" s="113"/>
      <c r="O190" s="113"/>
      <c r="P190" s="113"/>
      <c r="Q190" s="113"/>
      <c r="R190" s="113"/>
      <c r="S190" s="113"/>
      <c r="T190" s="113"/>
      <c r="U190" s="115"/>
      <c r="V190" s="80"/>
    </row>
    <row r="191" spans="1:29" x14ac:dyDescent="0.25">
      <c r="A191" s="79" t="s">
        <v>353</v>
      </c>
      <c r="B191" s="131" t="s">
        <v>354</v>
      </c>
      <c r="C191" s="132" t="s">
        <v>65</v>
      </c>
      <c r="D191" s="132" t="s">
        <v>355</v>
      </c>
      <c r="E191" s="132" t="s">
        <v>356</v>
      </c>
      <c r="F191" s="132">
        <v>146</v>
      </c>
      <c r="G191" s="132">
        <f>F191*J191</f>
        <v>292</v>
      </c>
      <c r="H191" s="132">
        <v>1.83</v>
      </c>
      <c r="I191" s="132">
        <f>H191*J191</f>
        <v>3.66</v>
      </c>
      <c r="J191" s="133">
        <v>2</v>
      </c>
      <c r="K191" s="132">
        <v>1600</v>
      </c>
      <c r="L191" s="132" t="s">
        <v>61</v>
      </c>
      <c r="M191" s="132">
        <v>990</v>
      </c>
      <c r="N191" s="132" t="s">
        <v>61</v>
      </c>
      <c r="O191" s="132">
        <v>1520</v>
      </c>
      <c r="P191" s="132">
        <v>2</v>
      </c>
      <c r="Q191" s="132">
        <f>(K191* M191* O191*P191) / (1000*1000*1000)</f>
        <v>4.82</v>
      </c>
      <c r="R191" s="132" t="s">
        <v>62</v>
      </c>
      <c r="S191" s="132">
        <f>F191*P191</f>
        <v>292</v>
      </c>
      <c r="T191" s="132">
        <f>156*P191</f>
        <v>312</v>
      </c>
      <c r="U191" s="134">
        <v>860</v>
      </c>
      <c r="V191" s="81">
        <f>U191*J191</f>
        <v>1720</v>
      </c>
      <c r="W191" s="82"/>
      <c r="X191" s="83"/>
      <c r="Y191" s="84"/>
      <c r="Z191" s="82"/>
      <c r="AA191" s="84"/>
      <c r="AB191" s="84"/>
      <c r="AC191" s="84"/>
    </row>
    <row r="192" spans="1:29" x14ac:dyDescent="0.25">
      <c r="A192" s="79"/>
      <c r="B192" s="113"/>
      <c r="C192" s="113"/>
      <c r="D192" s="113"/>
      <c r="E192" s="113"/>
      <c r="F192" s="113"/>
      <c r="G192" s="113"/>
      <c r="H192" s="113"/>
      <c r="I192" s="113"/>
      <c r="J192" s="114"/>
      <c r="K192" s="113"/>
      <c r="L192" s="113"/>
      <c r="M192" s="113"/>
      <c r="N192" s="113"/>
      <c r="O192" s="113"/>
      <c r="P192" s="113"/>
      <c r="Q192" s="113"/>
      <c r="R192" s="113"/>
      <c r="S192" s="113"/>
      <c r="T192" s="113"/>
      <c r="U192" s="115"/>
      <c r="V192" s="80"/>
    </row>
    <row r="193" spans="1:29" ht="18.75" x14ac:dyDescent="0.3">
      <c r="A193" s="79"/>
      <c r="B193" s="135" t="s">
        <v>357</v>
      </c>
      <c r="C193" s="113"/>
      <c r="D193" s="113"/>
      <c r="E193" s="113"/>
      <c r="F193" s="113"/>
      <c r="G193" s="113"/>
      <c r="H193" s="113"/>
      <c r="I193" s="113"/>
      <c r="J193" s="114"/>
      <c r="K193" s="113"/>
      <c r="L193" s="113"/>
      <c r="M193" s="113"/>
      <c r="N193" s="113"/>
      <c r="O193" s="113"/>
      <c r="P193" s="113"/>
      <c r="Q193" s="113"/>
      <c r="R193" s="113"/>
      <c r="S193" s="113"/>
      <c r="T193" s="113"/>
      <c r="U193" s="115"/>
      <c r="V193" s="80"/>
    </row>
    <row r="194" spans="1:29" ht="4.5" customHeight="1" x14ac:dyDescent="0.25">
      <c r="A194" s="79"/>
      <c r="B194" s="113"/>
      <c r="C194" s="113"/>
      <c r="D194" s="113"/>
      <c r="E194" s="113"/>
      <c r="F194" s="113"/>
      <c r="G194" s="113"/>
      <c r="H194" s="113"/>
      <c r="I194" s="113"/>
      <c r="J194" s="114"/>
      <c r="K194" s="113"/>
      <c r="L194" s="113"/>
      <c r="M194" s="113"/>
      <c r="N194" s="113"/>
      <c r="O194" s="113"/>
      <c r="P194" s="113"/>
      <c r="Q194" s="113"/>
      <c r="R194" s="113"/>
      <c r="S194" s="113"/>
      <c r="T194" s="113"/>
      <c r="U194" s="115"/>
      <c r="V194" s="80"/>
    </row>
    <row r="195" spans="1:29" x14ac:dyDescent="0.25">
      <c r="A195" s="79" t="s">
        <v>358</v>
      </c>
      <c r="B195" s="131" t="s">
        <v>234</v>
      </c>
      <c r="C195" s="132" t="s">
        <v>65</v>
      </c>
      <c r="D195" s="132" t="s">
        <v>359</v>
      </c>
      <c r="E195" s="132" t="s">
        <v>352</v>
      </c>
      <c r="F195" s="132"/>
      <c r="G195" s="132">
        <f>F195*J195</f>
        <v>0</v>
      </c>
      <c r="H195" s="132">
        <v>0.60000000000000009</v>
      </c>
      <c r="I195" s="132">
        <f>H195*J195</f>
        <v>0.6</v>
      </c>
      <c r="J195" s="133">
        <v>1</v>
      </c>
      <c r="K195" s="132"/>
      <c r="L195" s="132" t="s">
        <v>61</v>
      </c>
      <c r="M195" s="132"/>
      <c r="N195" s="132" t="s">
        <v>61</v>
      </c>
      <c r="O195" s="132"/>
      <c r="P195" s="132">
        <v>1</v>
      </c>
      <c r="Q195" s="132">
        <f>(K195* M195* O195*P195) / (1000*1000*1000)</f>
        <v>0</v>
      </c>
      <c r="R195" s="132" t="s">
        <v>62</v>
      </c>
      <c r="S195" s="132">
        <f>F195*P195</f>
        <v>0</v>
      </c>
      <c r="T195" s="132">
        <f>0*P195</f>
        <v>0</v>
      </c>
      <c r="U195" s="134">
        <v>120.71000000000001</v>
      </c>
      <c r="V195" s="81">
        <f>U195*J195</f>
        <v>120.71</v>
      </c>
      <c r="W195" s="82"/>
      <c r="X195" s="83"/>
      <c r="Y195" s="84"/>
      <c r="Z195" s="82"/>
      <c r="AA195" s="84"/>
      <c r="AB195" s="84"/>
      <c r="AC195" s="84"/>
    </row>
    <row r="196" spans="1:29" x14ac:dyDescent="0.25">
      <c r="A196" s="79"/>
      <c r="B196" s="113"/>
      <c r="C196" s="113"/>
      <c r="D196" s="113"/>
      <c r="E196" s="113"/>
      <c r="F196" s="113"/>
      <c r="G196" s="113"/>
      <c r="H196" s="113"/>
      <c r="I196" s="113"/>
      <c r="J196" s="114"/>
      <c r="K196" s="113"/>
      <c r="L196" s="113"/>
      <c r="M196" s="113"/>
      <c r="N196" s="113"/>
      <c r="O196" s="113"/>
      <c r="P196" s="113"/>
      <c r="Q196" s="113"/>
      <c r="R196" s="113"/>
      <c r="S196" s="113"/>
      <c r="T196" s="113"/>
      <c r="U196" s="115"/>
      <c r="V196" s="80"/>
    </row>
    <row r="197" spans="1:29" x14ac:dyDescent="0.25">
      <c r="A197" s="79" t="s">
        <v>360</v>
      </c>
      <c r="B197" s="131" t="s">
        <v>361</v>
      </c>
      <c r="C197" s="132" t="s">
        <v>65</v>
      </c>
      <c r="D197" s="132" t="s">
        <v>362</v>
      </c>
      <c r="E197" s="132" t="s">
        <v>363</v>
      </c>
      <c r="F197" s="132">
        <v>0</v>
      </c>
      <c r="G197" s="132">
        <f>F197*J197</f>
        <v>0</v>
      </c>
      <c r="H197" s="132">
        <v>0.14000000000000001</v>
      </c>
      <c r="I197" s="132">
        <f>H197*J197</f>
        <v>0.14000000000000001</v>
      </c>
      <c r="J197" s="133">
        <v>1</v>
      </c>
      <c r="K197" s="132">
        <v>600</v>
      </c>
      <c r="L197" s="132" t="s">
        <v>61</v>
      </c>
      <c r="M197" s="132">
        <v>650</v>
      </c>
      <c r="N197" s="132" t="s">
        <v>61</v>
      </c>
      <c r="O197" s="132">
        <v>600</v>
      </c>
      <c r="P197" s="132">
        <v>1</v>
      </c>
      <c r="Q197" s="132">
        <f>(K197* M197* O197*P197) / (1000*1000*1000)</f>
        <v>0.23</v>
      </c>
      <c r="R197" s="132" t="s">
        <v>62</v>
      </c>
      <c r="S197" s="132">
        <f>F197*P197</f>
        <v>0</v>
      </c>
      <c r="T197" s="132">
        <f>0*P197</f>
        <v>0</v>
      </c>
      <c r="U197" s="134">
        <v>111.8</v>
      </c>
      <c r="V197" s="81">
        <f>U197*J197</f>
        <v>111.8</v>
      </c>
      <c r="W197" s="82"/>
      <c r="X197" s="83"/>
      <c r="Y197" s="84"/>
      <c r="Z197" s="82"/>
      <c r="AA197" s="84"/>
      <c r="AB197" s="84"/>
      <c r="AC197" s="84"/>
    </row>
    <row r="198" spans="1:29" x14ac:dyDescent="0.25">
      <c r="A198" s="79"/>
      <c r="B198" s="113"/>
      <c r="C198" s="113"/>
      <c r="D198" s="113"/>
      <c r="E198" s="113"/>
      <c r="F198" s="113"/>
      <c r="G198" s="113"/>
      <c r="H198" s="113"/>
      <c r="I198" s="113"/>
      <c r="J198" s="114"/>
      <c r="K198" s="113"/>
      <c r="L198" s="113"/>
      <c r="M198" s="113"/>
      <c r="N198" s="113"/>
      <c r="O198" s="113"/>
      <c r="P198" s="113"/>
      <c r="Q198" s="113"/>
      <c r="R198" s="113"/>
      <c r="S198" s="113"/>
      <c r="T198" s="113"/>
      <c r="U198" s="115"/>
      <c r="V198" s="80"/>
    </row>
    <row r="199" spans="1:29" x14ac:dyDescent="0.25">
      <c r="A199" s="79" t="s">
        <v>364</v>
      </c>
      <c r="B199" s="131" t="s">
        <v>294</v>
      </c>
      <c r="C199" s="132" t="s">
        <v>65</v>
      </c>
      <c r="D199" s="132" t="s">
        <v>295</v>
      </c>
      <c r="E199" s="132" t="s">
        <v>292</v>
      </c>
      <c r="F199" s="132"/>
      <c r="G199" s="132">
        <f>F199*J199</f>
        <v>0</v>
      </c>
      <c r="H199" s="132">
        <v>1.01</v>
      </c>
      <c r="I199" s="132">
        <f>H199*J199</f>
        <v>1.01</v>
      </c>
      <c r="J199" s="133">
        <v>1</v>
      </c>
      <c r="K199" s="132"/>
      <c r="L199" s="132" t="s">
        <v>61</v>
      </c>
      <c r="M199" s="132"/>
      <c r="N199" s="132" t="s">
        <v>61</v>
      </c>
      <c r="O199" s="132"/>
      <c r="P199" s="132">
        <v>1</v>
      </c>
      <c r="Q199" s="132">
        <f>(K199* M199* O199*P199) / (1000*1000*1000)</f>
        <v>0</v>
      </c>
      <c r="R199" s="132" t="s">
        <v>62</v>
      </c>
      <c r="S199" s="132">
        <f>F199*P199</f>
        <v>0</v>
      </c>
      <c r="T199" s="132">
        <f>0*P199</f>
        <v>0</v>
      </c>
      <c r="U199" s="134">
        <v>180.73</v>
      </c>
      <c r="V199" s="81">
        <f>U199*J199</f>
        <v>180.73</v>
      </c>
      <c r="W199" s="82"/>
      <c r="X199" s="83"/>
      <c r="Y199" s="84"/>
      <c r="Z199" s="82"/>
      <c r="AA199" s="84"/>
      <c r="AB199" s="84"/>
      <c r="AC199" s="84"/>
    </row>
    <row r="200" spans="1:29" x14ac:dyDescent="0.25">
      <c r="A200" s="79"/>
      <c r="B200" s="113"/>
      <c r="C200" s="113"/>
      <c r="D200" s="113"/>
      <c r="E200" s="113"/>
      <c r="F200" s="113"/>
      <c r="G200" s="113"/>
      <c r="H200" s="113"/>
      <c r="I200" s="113"/>
      <c r="J200" s="114"/>
      <c r="K200" s="113"/>
      <c r="L200" s="113"/>
      <c r="M200" s="113"/>
      <c r="N200" s="113"/>
      <c r="O200" s="113"/>
      <c r="P200" s="113"/>
      <c r="Q200" s="113"/>
      <c r="R200" s="113"/>
      <c r="S200" s="113"/>
      <c r="T200" s="113"/>
      <c r="U200" s="115"/>
      <c r="V200" s="80"/>
    </row>
    <row r="201" spans="1:29" x14ac:dyDescent="0.25">
      <c r="A201" s="79" t="s">
        <v>365</v>
      </c>
      <c r="B201" s="131" t="s">
        <v>241</v>
      </c>
      <c r="C201" s="132" t="s">
        <v>65</v>
      </c>
      <c r="D201" s="132" t="s">
        <v>242</v>
      </c>
      <c r="E201" s="132" t="s">
        <v>243</v>
      </c>
      <c r="F201" s="132"/>
      <c r="G201" s="132">
        <f>F201*J201</f>
        <v>0</v>
      </c>
      <c r="H201" s="132">
        <v>0.89</v>
      </c>
      <c r="I201" s="132">
        <f>H201*J201</f>
        <v>0.89</v>
      </c>
      <c r="J201" s="133">
        <v>1</v>
      </c>
      <c r="K201" s="132"/>
      <c r="L201" s="132" t="s">
        <v>61</v>
      </c>
      <c r="M201" s="132"/>
      <c r="N201" s="132" t="s">
        <v>61</v>
      </c>
      <c r="O201" s="132"/>
      <c r="P201" s="132">
        <v>1</v>
      </c>
      <c r="Q201" s="132">
        <f>(K201* M201* O201*P201) / (1000*1000*1000)</f>
        <v>0</v>
      </c>
      <c r="R201" s="132" t="s">
        <v>62</v>
      </c>
      <c r="S201" s="132">
        <f>F201*P201</f>
        <v>0</v>
      </c>
      <c r="T201" s="132">
        <f>0*P201</f>
        <v>0</v>
      </c>
      <c r="U201" s="134">
        <v>239.55</v>
      </c>
      <c r="V201" s="81">
        <f>U201*J201</f>
        <v>239.55</v>
      </c>
      <c r="W201" s="82"/>
      <c r="X201" s="83"/>
      <c r="Y201" s="84"/>
      <c r="Z201" s="82"/>
      <c r="AA201" s="84"/>
      <c r="AB201" s="84"/>
      <c r="AC201" s="84"/>
    </row>
    <row r="202" spans="1:29" x14ac:dyDescent="0.25">
      <c r="A202" s="79"/>
      <c r="B202" s="113"/>
      <c r="C202" s="113"/>
      <c r="D202" s="113"/>
      <c r="E202" s="113"/>
      <c r="F202" s="113"/>
      <c r="G202" s="113"/>
      <c r="H202" s="113"/>
      <c r="I202" s="113"/>
      <c r="J202" s="114"/>
      <c r="K202" s="113"/>
      <c r="L202" s="113"/>
      <c r="M202" s="113"/>
      <c r="N202" s="113"/>
      <c r="O202" s="113"/>
      <c r="P202" s="113"/>
      <c r="Q202" s="113"/>
      <c r="R202" s="113"/>
      <c r="S202" s="113"/>
      <c r="T202" s="113"/>
      <c r="U202" s="115"/>
      <c r="V202" s="80"/>
    </row>
    <row r="203" spans="1:29" x14ac:dyDescent="0.25">
      <c r="A203" s="79" t="s">
        <v>366</v>
      </c>
      <c r="B203" s="131" t="s">
        <v>245</v>
      </c>
      <c r="C203" s="132" t="s">
        <v>65</v>
      </c>
      <c r="D203" s="132" t="s">
        <v>246</v>
      </c>
      <c r="E203" s="132" t="s">
        <v>247</v>
      </c>
      <c r="F203" s="132">
        <v>4.8</v>
      </c>
      <c r="G203" s="132">
        <f>F203*J203</f>
        <v>4.8</v>
      </c>
      <c r="H203" s="132">
        <v>0.79</v>
      </c>
      <c r="I203" s="132">
        <f>H203*J203</f>
        <v>0.79</v>
      </c>
      <c r="J203" s="133">
        <v>1</v>
      </c>
      <c r="K203" s="132">
        <v>1600</v>
      </c>
      <c r="L203" s="132" t="s">
        <v>61</v>
      </c>
      <c r="M203" s="132">
        <v>540</v>
      </c>
      <c r="N203" s="132" t="s">
        <v>61</v>
      </c>
      <c r="O203" s="132">
        <v>1350</v>
      </c>
      <c r="P203" s="132">
        <v>1</v>
      </c>
      <c r="Q203" s="132">
        <f>(K203* M203* O203*P203) / (1000*1000*1000)</f>
        <v>1.17</v>
      </c>
      <c r="R203" s="132" t="s">
        <v>62</v>
      </c>
      <c r="S203" s="132">
        <f>F203*P203</f>
        <v>4.8</v>
      </c>
      <c r="T203" s="132">
        <f>9.8*P203</f>
        <v>9.8000000000000007</v>
      </c>
      <c r="U203" s="134">
        <v>66.649999999999991</v>
      </c>
      <c r="V203" s="81">
        <f>U203*J203</f>
        <v>66.650000000000006</v>
      </c>
      <c r="W203" s="82"/>
      <c r="X203" s="83"/>
      <c r="Y203" s="84"/>
      <c r="Z203" s="82"/>
      <c r="AA203" s="84"/>
      <c r="AB203" s="84"/>
      <c r="AC203" s="84"/>
    </row>
    <row r="204" spans="1:29" x14ac:dyDescent="0.25">
      <c r="A204" s="79"/>
      <c r="B204" s="113"/>
      <c r="C204" s="113"/>
      <c r="D204" s="113"/>
      <c r="E204" s="113"/>
      <c r="F204" s="113"/>
      <c r="G204" s="113"/>
      <c r="H204" s="113"/>
      <c r="I204" s="113"/>
      <c r="J204" s="114"/>
      <c r="K204" s="113"/>
      <c r="L204" s="113"/>
      <c r="M204" s="113"/>
      <c r="N204" s="113"/>
      <c r="O204" s="113"/>
      <c r="P204" s="113"/>
      <c r="Q204" s="113"/>
      <c r="R204" s="113"/>
      <c r="S204" s="113"/>
      <c r="T204" s="113"/>
      <c r="U204" s="115"/>
      <c r="V204" s="80"/>
    </row>
    <row r="205" spans="1:29" x14ac:dyDescent="0.25">
      <c r="A205" s="79" t="s">
        <v>367</v>
      </c>
      <c r="B205" s="131" t="s">
        <v>249</v>
      </c>
      <c r="C205" s="132" t="s">
        <v>65</v>
      </c>
      <c r="D205" s="132" t="s">
        <v>250</v>
      </c>
      <c r="E205" s="132" t="s">
        <v>251</v>
      </c>
      <c r="F205" s="132"/>
      <c r="G205" s="132">
        <f>F205*J205</f>
        <v>0</v>
      </c>
      <c r="H205" s="132">
        <v>0.5</v>
      </c>
      <c r="I205" s="132">
        <f>H205*J205</f>
        <v>0.5</v>
      </c>
      <c r="J205" s="133">
        <v>1</v>
      </c>
      <c r="K205" s="132"/>
      <c r="L205" s="132" t="s">
        <v>61</v>
      </c>
      <c r="M205" s="132"/>
      <c r="N205" s="132" t="s">
        <v>61</v>
      </c>
      <c r="O205" s="132"/>
      <c r="P205" s="132">
        <v>1</v>
      </c>
      <c r="Q205" s="132">
        <f>(K205* M205* O205*P205) / (1000*1000*1000)</f>
        <v>0</v>
      </c>
      <c r="R205" s="132" t="s">
        <v>62</v>
      </c>
      <c r="S205" s="132">
        <f>F205*P205</f>
        <v>0</v>
      </c>
      <c r="T205" s="132">
        <f>0*P205</f>
        <v>0</v>
      </c>
      <c r="U205" s="134">
        <v>168.37</v>
      </c>
      <c r="V205" s="81">
        <f>U205*J205</f>
        <v>168.37</v>
      </c>
      <c r="W205" s="82"/>
      <c r="X205" s="83"/>
      <c r="Y205" s="84"/>
      <c r="Z205" s="82"/>
      <c r="AA205" s="84"/>
      <c r="AB205" s="84"/>
      <c r="AC205" s="84"/>
    </row>
    <row r="206" spans="1:29" x14ac:dyDescent="0.25">
      <c r="A206" s="79"/>
      <c r="B206" s="113"/>
      <c r="C206" s="113"/>
      <c r="D206" s="113"/>
      <c r="E206" s="113"/>
      <c r="F206" s="113"/>
      <c r="G206" s="113"/>
      <c r="H206" s="113"/>
      <c r="I206" s="113"/>
      <c r="J206" s="114"/>
      <c r="K206" s="113"/>
      <c r="L206" s="113"/>
      <c r="M206" s="113"/>
      <c r="N206" s="113"/>
      <c r="O206" s="113"/>
      <c r="P206" s="113"/>
      <c r="Q206" s="113"/>
      <c r="R206" s="113"/>
      <c r="S206" s="113"/>
      <c r="T206" s="113"/>
      <c r="U206" s="115"/>
      <c r="V206" s="80"/>
    </row>
    <row r="207" spans="1:29" x14ac:dyDescent="0.25">
      <c r="A207" s="79" t="s">
        <v>368</v>
      </c>
      <c r="B207" s="131" t="s">
        <v>253</v>
      </c>
      <c r="C207" s="132" t="s">
        <v>65</v>
      </c>
      <c r="D207" s="132" t="s">
        <v>369</v>
      </c>
      <c r="E207" s="132" t="s">
        <v>370</v>
      </c>
      <c r="F207" s="132"/>
      <c r="G207" s="132">
        <f>F207*J207</f>
        <v>0</v>
      </c>
      <c r="H207" s="132">
        <v>0.45</v>
      </c>
      <c r="I207" s="132">
        <f>H207*J207</f>
        <v>0.45</v>
      </c>
      <c r="J207" s="133">
        <v>1</v>
      </c>
      <c r="K207" s="132"/>
      <c r="L207" s="132" t="s">
        <v>61</v>
      </c>
      <c r="M207" s="132"/>
      <c r="N207" s="132" t="s">
        <v>61</v>
      </c>
      <c r="O207" s="132"/>
      <c r="P207" s="132">
        <v>1</v>
      </c>
      <c r="Q207" s="132">
        <f>(K207* M207* O207*P207) / (1000*1000*1000)</f>
        <v>0</v>
      </c>
      <c r="R207" s="132" t="s">
        <v>62</v>
      </c>
      <c r="S207" s="132">
        <f>F207*P207</f>
        <v>0</v>
      </c>
      <c r="T207" s="132">
        <f>0*P207</f>
        <v>0</v>
      </c>
      <c r="U207" s="134">
        <v>149.63999999999999</v>
      </c>
      <c r="V207" s="81">
        <f>U207*J207</f>
        <v>149.63999999999999</v>
      </c>
      <c r="W207" s="82"/>
      <c r="X207" s="83"/>
      <c r="Y207" s="84"/>
      <c r="Z207" s="82"/>
      <c r="AA207" s="84"/>
      <c r="AB207" s="84"/>
      <c r="AC207" s="84"/>
    </row>
    <row r="208" spans="1:29" x14ac:dyDescent="0.25">
      <c r="A208" s="79"/>
      <c r="B208" s="113"/>
      <c r="C208" s="113"/>
      <c r="D208" s="113"/>
      <c r="E208" s="113"/>
      <c r="F208" s="113"/>
      <c r="G208" s="113"/>
      <c r="H208" s="113"/>
      <c r="I208" s="113"/>
      <c r="J208" s="114"/>
      <c r="K208" s="113"/>
      <c r="L208" s="113"/>
      <c r="M208" s="113"/>
      <c r="N208" s="113"/>
      <c r="O208" s="113"/>
      <c r="P208" s="113"/>
      <c r="Q208" s="113"/>
      <c r="R208" s="113"/>
      <c r="S208" s="113"/>
      <c r="T208" s="113"/>
      <c r="U208" s="115"/>
      <c r="V208" s="80"/>
    </row>
    <row r="209" spans="1:36" x14ac:dyDescent="0.25">
      <c r="A209" s="79" t="s">
        <v>371</v>
      </c>
      <c r="B209" s="131" t="s">
        <v>273</v>
      </c>
      <c r="C209" s="132" t="s">
        <v>65</v>
      </c>
      <c r="D209" s="132" t="s">
        <v>283</v>
      </c>
      <c r="E209" s="132" t="s">
        <v>284</v>
      </c>
      <c r="F209" s="132"/>
      <c r="G209" s="132">
        <f>F209*J209</f>
        <v>0</v>
      </c>
      <c r="H209" s="132">
        <v>1.44</v>
      </c>
      <c r="I209" s="132">
        <f>H209*J209</f>
        <v>4.32</v>
      </c>
      <c r="J209" s="133">
        <v>3</v>
      </c>
      <c r="K209" s="132"/>
      <c r="L209" s="132" t="s">
        <v>61</v>
      </c>
      <c r="M209" s="132"/>
      <c r="N209" s="132" t="s">
        <v>61</v>
      </c>
      <c r="O209" s="132"/>
      <c r="P209" s="132">
        <v>3</v>
      </c>
      <c r="Q209" s="132">
        <f>(K209* M209* O209*P209) / (1000*1000*1000)</f>
        <v>0</v>
      </c>
      <c r="R209" s="132" t="s">
        <v>62</v>
      </c>
      <c r="S209" s="132">
        <f>F209*P209</f>
        <v>0</v>
      </c>
      <c r="T209" s="132">
        <f>0*P209</f>
        <v>0</v>
      </c>
      <c r="U209" s="134">
        <v>363.96999999999997</v>
      </c>
      <c r="V209" s="81">
        <f>U209*J209</f>
        <v>1091.9100000000001</v>
      </c>
      <c r="W209" s="82"/>
      <c r="X209" s="83"/>
      <c r="Y209" s="84"/>
      <c r="Z209" s="82"/>
      <c r="AA209" s="84"/>
      <c r="AB209" s="84"/>
      <c r="AC209" s="84"/>
    </row>
    <row r="210" spans="1:36" x14ac:dyDescent="0.25">
      <c r="A210" s="79"/>
      <c r="B210" s="113"/>
      <c r="C210" s="113"/>
      <c r="D210" s="113"/>
      <c r="E210" s="113"/>
      <c r="F210" s="113"/>
      <c r="G210" s="113"/>
      <c r="H210" s="113"/>
      <c r="I210" s="113"/>
      <c r="J210" s="114"/>
      <c r="K210" s="113"/>
      <c r="L210" s="113"/>
      <c r="M210" s="113"/>
      <c r="N210" s="113"/>
      <c r="O210" s="113"/>
      <c r="P210" s="113"/>
      <c r="Q210" s="113"/>
      <c r="R210" s="113"/>
      <c r="S210" s="113"/>
      <c r="T210" s="113"/>
      <c r="U210" s="115"/>
      <c r="V210" s="80"/>
    </row>
    <row r="211" spans="1:36" x14ac:dyDescent="0.25">
      <c r="A211" s="79" t="s">
        <v>372</v>
      </c>
      <c r="B211" s="131" t="s">
        <v>373</v>
      </c>
      <c r="C211" s="132" t="s">
        <v>65</v>
      </c>
      <c r="D211" s="132" t="s">
        <v>374</v>
      </c>
      <c r="E211" s="132" t="s">
        <v>375</v>
      </c>
      <c r="F211" s="132">
        <v>0</v>
      </c>
      <c r="G211" s="132">
        <f>F211*J211</f>
        <v>0</v>
      </c>
      <c r="H211" s="132">
        <v>0.41000000000000003</v>
      </c>
      <c r="I211" s="132">
        <f>H211*J211</f>
        <v>2.0499999999999998</v>
      </c>
      <c r="J211" s="133">
        <v>5</v>
      </c>
      <c r="K211" s="132">
        <v>300</v>
      </c>
      <c r="L211" s="132" t="s">
        <v>61</v>
      </c>
      <c r="M211" s="132">
        <v>660</v>
      </c>
      <c r="N211" s="132" t="s">
        <v>61</v>
      </c>
      <c r="O211" s="132">
        <v>1860</v>
      </c>
      <c r="P211" s="132">
        <v>5</v>
      </c>
      <c r="Q211" s="132">
        <f>(K211* M211* O211*P211) / (1000*1000*1000)</f>
        <v>1.84</v>
      </c>
      <c r="R211" s="132" t="s">
        <v>62</v>
      </c>
      <c r="S211" s="132">
        <f>F211*P211</f>
        <v>0</v>
      </c>
      <c r="T211" s="132">
        <f>0*P211</f>
        <v>0</v>
      </c>
      <c r="U211" s="134">
        <v>135.45000000000002</v>
      </c>
      <c r="V211" s="81">
        <f>U211*J211</f>
        <v>677.25</v>
      </c>
      <c r="W211" s="82"/>
      <c r="X211" s="83"/>
      <c r="Y211" s="84"/>
      <c r="Z211" s="82"/>
      <c r="AA211" s="84"/>
      <c r="AB211" s="84"/>
      <c r="AC211" s="84"/>
    </row>
    <row r="212" spans="1:36" s="3" customFormat="1" ht="15.75" thickBot="1" x14ac:dyDescent="0.25">
      <c r="A212" s="92"/>
      <c r="B212" s="157"/>
      <c r="C212" s="158"/>
      <c r="D212" s="93"/>
      <c r="E212" s="94"/>
      <c r="F212" s="95"/>
      <c r="G212" s="95"/>
      <c r="H212" s="66"/>
      <c r="I212" s="68"/>
      <c r="J212" s="96"/>
      <c r="K212" s="85"/>
      <c r="L212" s="85"/>
      <c r="M212" s="85"/>
      <c r="N212" s="85"/>
      <c r="O212" s="85"/>
      <c r="P212" s="67"/>
      <c r="Q212" s="85"/>
      <c r="R212" s="85"/>
      <c r="S212" s="85"/>
      <c r="T212" s="86"/>
      <c r="U212" s="159"/>
      <c r="V212" s="160"/>
      <c r="W212" s="88"/>
      <c r="X212" s="71"/>
      <c r="Y212" s="88"/>
      <c r="Z212" s="88"/>
      <c r="AA212" s="71"/>
      <c r="AB212" s="88"/>
      <c r="AC212" s="89"/>
      <c r="AD212" s="90"/>
      <c r="AE212" s="88"/>
      <c r="AF212" s="88"/>
      <c r="AG212" s="91"/>
    </row>
    <row r="213" spans="1:36" s="3" customFormat="1" ht="16.5" customHeight="1" thickBot="1" x14ac:dyDescent="0.3">
      <c r="A213" s="97"/>
      <c r="B213" s="98"/>
      <c r="C213" s="98"/>
      <c r="D213" s="99"/>
      <c r="E213" s="162" t="s">
        <v>380</v>
      </c>
      <c r="F213" s="163"/>
      <c r="G213" s="163"/>
      <c r="H213" s="163"/>
      <c r="I213" s="163"/>
      <c r="J213" s="163"/>
      <c r="K213" s="163"/>
      <c r="L213" s="163"/>
      <c r="M213" s="163"/>
      <c r="N213" s="163"/>
      <c r="O213" s="163"/>
      <c r="P213" s="163"/>
      <c r="Q213" s="163"/>
      <c r="R213" s="163"/>
      <c r="S213" s="163"/>
      <c r="T213" s="163"/>
      <c r="U213" s="164"/>
      <c r="V213" s="161">
        <f>SUM(V12:V212)</f>
        <v>46837.63</v>
      </c>
      <c r="W213" s="87"/>
      <c r="X213" s="100"/>
      <c r="Y213" s="101"/>
      <c r="Z213" s="88"/>
      <c r="AA213" s="89"/>
      <c r="AB213" s="89"/>
      <c r="AC213" s="89"/>
      <c r="AD213" s="90"/>
      <c r="AE213" s="88"/>
      <c r="AF213" s="88"/>
      <c r="AG213" s="91"/>
      <c r="AJ213" s="184"/>
    </row>
    <row r="214" spans="1:36" s="3" customFormat="1" ht="16.5" hidden="1" customHeight="1" thickBot="1" x14ac:dyDescent="0.3">
      <c r="A214" s="102"/>
      <c r="B214" s="5"/>
      <c r="C214" s="5"/>
      <c r="D214" s="5"/>
      <c r="E214" s="162" t="s">
        <v>376</v>
      </c>
      <c r="F214" s="163"/>
      <c r="G214" s="163"/>
      <c r="H214" s="163"/>
      <c r="I214" s="163"/>
      <c r="J214" s="163"/>
      <c r="K214" s="163"/>
      <c r="L214" s="163"/>
      <c r="M214" s="163"/>
      <c r="N214" s="163"/>
      <c r="O214" s="163"/>
      <c r="P214" s="163"/>
      <c r="Q214" s="163"/>
      <c r="R214" s="163"/>
      <c r="S214" s="163"/>
      <c r="T214" s="163"/>
      <c r="U214" s="164"/>
      <c r="V214" s="161">
        <v>0</v>
      </c>
      <c r="W214" s="87"/>
      <c r="X214" s="100"/>
      <c r="Y214" s="101"/>
      <c r="Z214" s="88"/>
      <c r="AA214" s="89"/>
      <c r="AB214" s="89"/>
      <c r="AC214" s="89"/>
      <c r="AD214" s="90"/>
      <c r="AE214" s="88"/>
      <c r="AF214" s="88"/>
      <c r="AG214" s="91"/>
    </row>
    <row r="215" spans="1:36" s="3" customFormat="1" ht="16.5" customHeight="1" thickBot="1" x14ac:dyDescent="0.3">
      <c r="A215" s="102"/>
      <c r="B215" s="5"/>
      <c r="C215" s="5"/>
      <c r="D215" s="5"/>
      <c r="E215" s="162" t="s">
        <v>381</v>
      </c>
      <c r="F215" s="163"/>
      <c r="G215" s="163"/>
      <c r="H215" s="163"/>
      <c r="I215" s="163"/>
      <c r="J215" s="163"/>
      <c r="K215" s="163"/>
      <c r="L215" s="163"/>
      <c r="M215" s="163"/>
      <c r="N215" s="163"/>
      <c r="O215" s="163"/>
      <c r="P215" s="163"/>
      <c r="Q215" s="163"/>
      <c r="R215" s="163"/>
      <c r="S215" s="163"/>
      <c r="T215" s="163"/>
      <c r="U215" s="164"/>
      <c r="V215" s="161">
        <f>(TOTAL_STR-ISKINTO_STR)*(18/100)</f>
        <v>8430.77</v>
      </c>
      <c r="W215" s="87"/>
      <c r="X215" s="100"/>
      <c r="Y215" s="101"/>
      <c r="Z215" s="88"/>
      <c r="AA215" s="89"/>
      <c r="AB215" s="89"/>
      <c r="AC215" s="89"/>
      <c r="AD215" s="90"/>
      <c r="AE215" s="88"/>
      <c r="AF215" s="88"/>
      <c r="AG215" s="91"/>
    </row>
    <row r="216" spans="1:36" s="3" customFormat="1" ht="16.5" hidden="1" customHeight="1" thickBot="1" x14ac:dyDescent="0.3">
      <c r="A216" s="102"/>
      <c r="B216" s="5"/>
      <c r="C216" s="5"/>
      <c r="D216" s="5"/>
      <c r="E216" s="162" t="s">
        <v>377</v>
      </c>
      <c r="F216" s="163"/>
      <c r="G216" s="163"/>
      <c r="H216" s="163"/>
      <c r="I216" s="163"/>
      <c r="J216" s="163"/>
      <c r="K216" s="163"/>
      <c r="L216" s="163"/>
      <c r="M216" s="163"/>
      <c r="N216" s="163"/>
      <c r="O216" s="163"/>
      <c r="P216" s="163"/>
      <c r="Q216" s="163"/>
      <c r="R216" s="163"/>
      <c r="S216" s="163"/>
      <c r="T216" s="163"/>
      <c r="U216" s="164"/>
      <c r="V216" s="161">
        <v>0</v>
      </c>
      <c r="W216" s="87"/>
      <c r="X216" s="100"/>
      <c r="Y216" s="101"/>
      <c r="Z216" s="88"/>
      <c r="AA216" s="89"/>
      <c r="AB216" s="89"/>
      <c r="AC216" s="89"/>
      <c r="AD216" s="90"/>
      <c r="AE216" s="88"/>
      <c r="AF216" s="88"/>
      <c r="AG216" s="91"/>
    </row>
    <row r="217" spans="1:36" s="3" customFormat="1" ht="16.5" hidden="1" customHeight="1" thickBot="1" x14ac:dyDescent="0.3">
      <c r="A217" s="102"/>
      <c r="B217" s="5"/>
      <c r="C217" s="5"/>
      <c r="D217" s="5"/>
      <c r="E217" s="162" t="s">
        <v>378</v>
      </c>
      <c r="F217" s="163"/>
      <c r="G217" s="163"/>
      <c r="H217" s="163"/>
      <c r="I217" s="163"/>
      <c r="J217" s="163"/>
      <c r="K217" s="163"/>
      <c r="L217" s="163"/>
      <c r="M217" s="163"/>
      <c r="N217" s="163"/>
      <c r="O217" s="163"/>
      <c r="P217" s="163"/>
      <c r="Q217" s="163"/>
      <c r="R217" s="163"/>
      <c r="S217" s="163"/>
      <c r="T217" s="163"/>
      <c r="U217" s="163"/>
      <c r="V217" s="161">
        <v>0</v>
      </c>
      <c r="W217" s="87"/>
      <c r="X217" s="100"/>
      <c r="Y217" s="101"/>
      <c r="Z217" s="88"/>
      <c r="AA217" s="89"/>
      <c r="AB217" s="89"/>
      <c r="AC217" s="89"/>
      <c r="AD217" s="90"/>
      <c r="AE217" s="88"/>
      <c r="AF217" s="88"/>
      <c r="AG217" s="91"/>
    </row>
    <row r="218" spans="1:36" s="3" customFormat="1" ht="16.5" hidden="1" customHeight="1" thickBot="1" x14ac:dyDescent="0.3">
      <c r="A218" s="102"/>
      <c r="B218" s="5"/>
      <c r="C218" s="5"/>
      <c r="D218" s="5"/>
      <c r="E218" s="162" t="s">
        <v>379</v>
      </c>
      <c r="F218" s="163"/>
      <c r="G218" s="163"/>
      <c r="H218" s="163"/>
      <c r="I218" s="163"/>
      <c r="J218" s="163"/>
      <c r="K218" s="163"/>
      <c r="L218" s="163"/>
      <c r="M218" s="163"/>
      <c r="N218" s="163"/>
      <c r="O218" s="163"/>
      <c r="P218" s="163"/>
      <c r="Q218" s="163"/>
      <c r="R218" s="163"/>
      <c r="S218" s="163"/>
      <c r="T218" s="163"/>
      <c r="U218" s="164"/>
      <c r="V218" s="161">
        <v>0</v>
      </c>
      <c r="W218" s="87"/>
      <c r="X218" s="100"/>
      <c r="Y218" s="101"/>
      <c r="Z218" s="88"/>
      <c r="AA218" s="89"/>
      <c r="AB218" s="89"/>
      <c r="AC218" s="89"/>
      <c r="AD218" s="90"/>
      <c r="AE218" s="88"/>
      <c r="AF218" s="88"/>
      <c r="AG218" s="91"/>
    </row>
    <row r="219" spans="1:36" s="3" customFormat="1" ht="15" customHeight="1" thickBot="1" x14ac:dyDescent="0.3">
      <c r="A219" s="103"/>
      <c r="B219" s="5"/>
      <c r="C219" s="5"/>
      <c r="D219" s="5"/>
      <c r="E219" s="162" t="s">
        <v>382</v>
      </c>
      <c r="F219" s="163"/>
      <c r="G219" s="163"/>
      <c r="H219" s="163"/>
      <c r="I219" s="163"/>
      <c r="J219" s="163"/>
      <c r="K219" s="163"/>
      <c r="L219" s="163"/>
      <c r="M219" s="163"/>
      <c r="N219" s="163"/>
      <c r="O219" s="163"/>
      <c r="P219" s="163"/>
      <c r="Q219" s="163"/>
      <c r="R219" s="163"/>
      <c r="S219" s="163"/>
      <c r="T219" s="163"/>
      <c r="U219" s="164"/>
      <c r="V219" s="161">
        <f>TOTAL_STR-ISKINTO_STR+KDV_STR+NKL_STR+EXTRA</f>
        <v>55268.4</v>
      </c>
      <c r="W219" s="104"/>
      <c r="X219" s="36"/>
      <c r="Y219" s="76"/>
      <c r="Z219" s="88"/>
      <c r="AA219" s="89"/>
      <c r="AB219" s="89"/>
      <c r="AC219" s="89"/>
      <c r="AD219" s="90"/>
      <c r="AE219" s="88"/>
      <c r="AF219" s="88"/>
      <c r="AG219" s="91"/>
    </row>
    <row r="220" spans="1:36" s="3" customFormat="1" ht="15.75" thickBot="1" x14ac:dyDescent="0.3">
      <c r="A220" s="105"/>
      <c r="B220" s="106"/>
      <c r="C220" s="106"/>
      <c r="D220" s="106"/>
      <c r="E220" s="106"/>
      <c r="F220" s="106"/>
      <c r="G220" s="106"/>
      <c r="H220" s="107"/>
      <c r="I220" s="107"/>
      <c r="J220" s="108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9"/>
      <c r="V220" s="110"/>
      <c r="W220" s="104"/>
      <c r="X220" s="111"/>
      <c r="Y220" s="34"/>
      <c r="Z220" s="88"/>
      <c r="AA220" s="89"/>
      <c r="AB220" s="89"/>
      <c r="AC220" s="89"/>
      <c r="AD220" s="90"/>
      <c r="AE220" s="88"/>
      <c r="AF220" s="88"/>
      <c r="AG220" s="91"/>
    </row>
    <row r="221" spans="1:36" s="3" customFormat="1" x14ac:dyDescent="0.25">
      <c r="A221" s="4"/>
      <c r="B221" s="5"/>
      <c r="C221" s="5"/>
      <c r="D221" s="5"/>
      <c r="E221" s="5"/>
      <c r="F221" s="5"/>
      <c r="G221" s="5"/>
      <c r="H221" s="5"/>
      <c r="I221" s="5"/>
      <c r="J221" s="6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  <c r="V221" s="7"/>
      <c r="W221" s="88"/>
      <c r="X221" s="112"/>
      <c r="Y221" s="89"/>
      <c r="Z221" s="88"/>
      <c r="AA221" s="89"/>
      <c r="AB221" s="89"/>
      <c r="AC221" s="89"/>
      <c r="AD221" s="90"/>
      <c r="AE221" s="88"/>
      <c r="AF221" s="88"/>
      <c r="AG221" s="91"/>
    </row>
  </sheetData>
  <sheetProtection selectLockedCells="1" selectUnlockedCells="1"/>
  <mergeCells count="10">
    <mergeCell ref="E219:U219"/>
    <mergeCell ref="A1:V4"/>
    <mergeCell ref="K11:O11"/>
    <mergeCell ref="K10:O10"/>
    <mergeCell ref="E213:U213"/>
    <mergeCell ref="E214:U214"/>
    <mergeCell ref="E215:U215"/>
    <mergeCell ref="E216:U216"/>
    <mergeCell ref="E217:U217"/>
    <mergeCell ref="E218:U218"/>
  </mergeCells>
  <conditionalFormatting sqref="U219:V1048576 Y9:Y1048576 U1:V213">
    <cfRule type="expression" dxfId="11" priority="1">
      <formula>IF(#REF!="EURO",TRUE,FALSE)</formula>
    </cfRule>
    <cfRule type="expression" dxfId="10" priority="2">
      <formula>IF(#REF!="USD",TRUE,FALSE)</formula>
    </cfRule>
    <cfRule type="expression" dxfId="9" priority="3">
      <formula>IF(#REF!="TL",TRUE,FALSE)</formula>
    </cfRule>
  </conditionalFormatting>
  <conditionalFormatting sqref="U214:V218">
    <cfRule type="expression" dxfId="8" priority="4">
      <formula>IF(#REF!="EURO",TRUE,FALSE)</formula>
    </cfRule>
    <cfRule type="expression" dxfId="7" priority="5">
      <formula>IF(#REF!="USD",TRUE,FALSE)</formula>
    </cfRule>
    <cfRule type="expression" dxfId="6" priority="6">
      <formula>IF(#REF!="TL",TRUE,FALSE)</formula>
    </cfRule>
  </conditionalFormatting>
  <printOptions verticalCentered="1"/>
  <pageMargins left="0.1965278" right="7.8472219999999995E-2" top="0.27569440000000001" bottom="0.3541667" header="0.51180550000000002" footer="0.1965278"/>
  <pageSetup paperSize="9" scale="93" fitToHeight="0" orientation="landscape" r:id="rId1"/>
  <headerFooter alignWithMargins="0">
    <oddFooter>&amp;C&amp;P / &amp;N</oddFooter>
  </headerFooter>
  <drawing r:id="rId2"/>
  <extLst>
    <ext uri="{DA0DF6DB-593F-4E5A-9A91-8C5527F71BAF}">
      <customCellInplaceEditors>
        <customCellInplaceEditor type="comboBox" range="AC50:AC5244">
          <f>X34:X45</f>
        </customCellInplaceEditor>
      </customCellInplaceEditor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76013-557B-4D50-B16F-C27163DCBDA4}">
  <sheetPr codeName="Sheet2">
    <pageSetUpPr fitToPage="1"/>
  </sheetPr>
  <dimension ref="A1:AG221"/>
  <sheetViews>
    <sheetView topLeftCell="A177" zoomScale="85" zoomScaleNormal="85" zoomScalePageLayoutView="85" workbookViewId="0">
      <selection activeCell="V79" sqref="V79"/>
    </sheetView>
  </sheetViews>
  <sheetFormatPr defaultColWidth="8.7109375" defaultRowHeight="15" x14ac:dyDescent="0.25"/>
  <cols>
    <col min="1" max="1" width="4.85546875" style="4" customWidth="1"/>
    <col min="2" max="2" width="56.140625" style="5" customWidth="1"/>
    <col min="3" max="3" width="15" style="5" customWidth="1"/>
    <col min="4" max="4" width="25" style="5" customWidth="1"/>
    <col min="5" max="5" width="23.42578125" style="5" customWidth="1"/>
    <col min="6" max="6" width="9.140625" style="5" hidden="1" customWidth="1"/>
    <col min="7" max="7" width="8.7109375" style="5" hidden="1" customWidth="1"/>
    <col min="8" max="8" width="12.5703125" style="5" hidden="1" customWidth="1"/>
    <col min="9" max="9" width="15.85546875" style="5" hidden="1" customWidth="1"/>
    <col min="10" max="10" width="6.7109375" style="6" customWidth="1"/>
    <col min="11" max="11" width="8.7109375" style="5" hidden="1" customWidth="1"/>
    <col min="12" max="12" width="2.28515625" style="5" hidden="1" customWidth="1"/>
    <col min="13" max="13" width="7.5703125" style="5" hidden="1" customWidth="1"/>
    <col min="14" max="14" width="1.42578125" style="5" hidden="1" customWidth="1"/>
    <col min="15" max="15" width="5.5703125" style="5" hidden="1" customWidth="1"/>
    <col min="16" max="16" width="6.85546875" style="5" hidden="1" customWidth="1"/>
    <col min="17" max="17" width="6" style="5" hidden="1" customWidth="1"/>
    <col min="18" max="18" width="5.85546875" style="5" hidden="1" customWidth="1"/>
    <col min="19" max="19" width="7.28515625" style="5" hidden="1" customWidth="1"/>
    <col min="20" max="20" width="6.140625" style="5" hidden="1" customWidth="1"/>
    <col min="21" max="21" width="13" style="7" customWidth="1"/>
    <col min="22" max="22" width="14.140625" style="7" bestFit="1" customWidth="1"/>
    <col min="23" max="23" width="12.5703125" style="8" hidden="1" customWidth="1"/>
    <col min="24" max="24" width="12.5703125" style="9" hidden="1" customWidth="1"/>
    <col min="25" max="25" width="14.140625" style="10" hidden="1" customWidth="1"/>
    <col min="26" max="26" width="12.5703125" style="8" hidden="1" customWidth="1"/>
    <col min="27" max="28" width="12.5703125" style="10" hidden="1" customWidth="1"/>
    <col min="29" max="29" width="16" style="10" hidden="1" customWidth="1"/>
    <col min="30" max="30" width="13.85546875" style="11" hidden="1" customWidth="1"/>
    <col min="31" max="32" width="0" style="8" hidden="1" customWidth="1"/>
    <col min="33" max="33" width="0" style="12" hidden="1" customWidth="1"/>
    <col min="34" max="34" width="0" style="13" hidden="1" customWidth="1"/>
    <col min="35" max="35" width="8.7109375" style="13"/>
    <col min="36" max="36" width="13.42578125" style="13" bestFit="1" customWidth="1"/>
    <col min="37" max="16384" width="8.7109375" style="13"/>
  </cols>
  <sheetData>
    <row r="1" spans="1:33" s="1" customFormat="1" x14ac:dyDescent="0.25">
      <c r="A1" s="165" t="s">
        <v>0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7"/>
      <c r="V1" s="168"/>
      <c r="W1" s="14"/>
      <c r="X1" s="36"/>
      <c r="Y1" s="26"/>
      <c r="Z1" s="26"/>
      <c r="AA1" s="35"/>
      <c r="AB1" s="15"/>
      <c r="AC1" s="15"/>
      <c r="AD1" s="16"/>
      <c r="AE1" s="14"/>
      <c r="AF1" s="14"/>
      <c r="AG1" s="17"/>
    </row>
    <row r="2" spans="1:33" s="1" customFormat="1" x14ac:dyDescent="0.25">
      <c r="A2" s="169"/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1"/>
      <c r="V2" s="172"/>
      <c r="W2" s="14"/>
      <c r="X2" s="36"/>
      <c r="Y2" s="26"/>
      <c r="Z2" s="26"/>
      <c r="AA2" s="35"/>
      <c r="AB2" s="15"/>
      <c r="AC2" s="15"/>
      <c r="AD2" s="16"/>
      <c r="AE2" s="14"/>
      <c r="AF2" s="14"/>
      <c r="AG2" s="17"/>
    </row>
    <row r="3" spans="1:33" s="1" customFormat="1" x14ac:dyDescent="0.25">
      <c r="A3" s="169"/>
      <c r="B3" s="170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  <c r="U3" s="171"/>
      <c r="V3" s="172"/>
      <c r="W3" s="14"/>
      <c r="X3" s="36"/>
      <c r="Y3" s="37"/>
      <c r="Z3" s="37"/>
      <c r="AA3" s="35"/>
      <c r="AB3" s="38"/>
      <c r="AC3" s="38"/>
      <c r="AD3" s="33"/>
      <c r="AE3" s="32"/>
      <c r="AF3" s="14"/>
      <c r="AG3" s="17"/>
    </row>
    <row r="4" spans="1:33" s="1" customFormat="1" x14ac:dyDescent="0.25">
      <c r="A4" s="169"/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1"/>
      <c r="V4" s="172"/>
      <c r="W4" s="14"/>
      <c r="X4" s="36"/>
      <c r="Y4" s="39"/>
      <c r="Z4" s="37"/>
      <c r="AA4" s="35"/>
      <c r="AB4" s="40"/>
      <c r="AC4" s="40"/>
      <c r="AD4" s="33"/>
      <c r="AE4" s="32"/>
      <c r="AF4" s="14"/>
      <c r="AG4" s="17"/>
    </row>
    <row r="5" spans="1:33" s="1" customFormat="1" x14ac:dyDescent="0.25">
      <c r="A5" s="18"/>
      <c r="B5" s="20"/>
      <c r="C5" s="21"/>
      <c r="D5" s="21"/>
      <c r="E5" s="22"/>
      <c r="F5" s="22"/>
      <c r="G5" s="22"/>
      <c r="H5" s="22"/>
      <c r="I5" s="22"/>
      <c r="J5" s="23"/>
      <c r="K5" s="19"/>
      <c r="L5" s="19"/>
      <c r="M5" s="19"/>
      <c r="N5" s="19"/>
      <c r="O5" s="19"/>
      <c r="P5" s="19"/>
      <c r="Q5" s="19"/>
      <c r="R5" s="19"/>
      <c r="S5" s="19"/>
      <c r="T5" s="19"/>
      <c r="U5" s="7"/>
      <c r="V5" s="25"/>
      <c r="W5" s="14"/>
      <c r="X5" s="36"/>
      <c r="Y5" s="26"/>
      <c r="Z5" s="26"/>
      <c r="AA5" s="35"/>
      <c r="AB5" s="15"/>
      <c r="AC5" s="15"/>
      <c r="AD5" s="16"/>
      <c r="AE5" s="14"/>
      <c r="AF5" s="14"/>
      <c r="AG5" s="17"/>
    </row>
    <row r="6" spans="1:33" s="1" customFormat="1" x14ac:dyDescent="0.25">
      <c r="A6" s="18" t="s">
        <v>1</v>
      </c>
      <c r="B6" s="20"/>
      <c r="C6" s="27"/>
      <c r="D6" s="27"/>
      <c r="E6" s="22"/>
      <c r="F6" s="22"/>
      <c r="G6" s="22"/>
      <c r="H6" s="22"/>
      <c r="I6" s="28"/>
      <c r="J6" s="6"/>
      <c r="K6" s="5"/>
      <c r="L6" s="5"/>
      <c r="M6" s="5"/>
      <c r="N6" s="5"/>
      <c r="O6" s="5"/>
      <c r="P6" s="5"/>
      <c r="Q6" s="5"/>
      <c r="R6" s="5"/>
      <c r="S6" s="5"/>
      <c r="T6" s="5"/>
      <c r="U6" s="24" t="s">
        <v>2</v>
      </c>
      <c r="V6" s="25"/>
      <c r="W6" s="14"/>
      <c r="X6" s="41"/>
      <c r="Y6" s="26"/>
      <c r="Z6" s="26"/>
      <c r="AA6" s="35"/>
      <c r="AB6" s="15"/>
      <c r="AC6" s="15"/>
      <c r="AD6" s="16"/>
      <c r="AE6" s="14"/>
      <c r="AF6" s="14"/>
      <c r="AG6" s="17"/>
    </row>
    <row r="7" spans="1:33" s="1" customFormat="1" x14ac:dyDescent="0.25">
      <c r="A7" s="18" t="s">
        <v>4</v>
      </c>
      <c r="B7" s="20"/>
      <c r="C7" s="30"/>
      <c r="D7" s="30"/>
      <c r="E7" s="31"/>
      <c r="F7" s="31"/>
      <c r="G7" s="31"/>
      <c r="H7" s="31"/>
      <c r="I7" s="28"/>
      <c r="J7" s="23"/>
      <c r="K7" s="42"/>
      <c r="L7" s="42"/>
      <c r="M7" s="42"/>
      <c r="N7" s="42"/>
      <c r="O7" s="42"/>
      <c r="P7" s="42"/>
      <c r="Q7" s="42"/>
      <c r="R7" s="42"/>
      <c r="S7" s="42"/>
      <c r="T7" s="42"/>
      <c r="U7" s="24" t="s">
        <v>3</v>
      </c>
      <c r="V7" s="29"/>
      <c r="W7" s="14"/>
      <c r="X7" s="36"/>
      <c r="Y7" s="26"/>
      <c r="Z7" s="26"/>
      <c r="AA7" s="35"/>
      <c r="AB7" s="15"/>
      <c r="AC7" s="15"/>
      <c r="AD7" s="16"/>
      <c r="AE7" s="14"/>
      <c r="AF7" s="14"/>
      <c r="AG7" s="17"/>
    </row>
    <row r="8" spans="1:33" s="1" customFormat="1" x14ac:dyDescent="0.25">
      <c r="A8" s="18"/>
      <c r="B8" s="20"/>
      <c r="C8" s="30"/>
      <c r="D8" s="30"/>
      <c r="E8" s="31"/>
      <c r="F8" s="31"/>
      <c r="G8" s="31"/>
      <c r="H8" s="31"/>
      <c r="I8" s="28"/>
      <c r="J8" s="23"/>
      <c r="K8" s="42"/>
      <c r="L8" s="42"/>
      <c r="M8" s="42"/>
      <c r="N8" s="42"/>
      <c r="O8" s="42"/>
      <c r="P8" s="42"/>
      <c r="Q8" s="42"/>
      <c r="R8" s="42"/>
      <c r="S8" s="42"/>
      <c r="T8" s="42"/>
      <c r="U8" s="24"/>
      <c r="V8" s="29"/>
      <c r="W8" s="14"/>
      <c r="X8" s="36"/>
      <c r="Y8" s="26"/>
      <c r="Z8" s="26"/>
      <c r="AA8" s="35"/>
      <c r="AB8" s="15"/>
      <c r="AC8" s="15"/>
      <c r="AD8" s="16"/>
      <c r="AE8" s="14"/>
      <c r="AF8" s="14"/>
      <c r="AG8" s="17"/>
    </row>
    <row r="9" spans="1:33" s="2" customFormat="1" ht="15.75" thickBot="1" x14ac:dyDescent="0.3">
      <c r="A9" s="43" t="s">
        <v>5</v>
      </c>
      <c r="B9" s="116" t="s">
        <v>6</v>
      </c>
      <c r="C9" s="117" t="s">
        <v>7</v>
      </c>
      <c r="D9" s="117" t="s">
        <v>8</v>
      </c>
      <c r="E9" s="117" t="s">
        <v>9</v>
      </c>
      <c r="F9" s="117" t="s">
        <v>10</v>
      </c>
      <c r="G9" s="117" t="s">
        <v>11</v>
      </c>
      <c r="H9" s="117" t="s">
        <v>12</v>
      </c>
      <c r="I9" s="117" t="s">
        <v>13</v>
      </c>
      <c r="J9" s="44" t="s">
        <v>14</v>
      </c>
      <c r="K9" s="117"/>
      <c r="L9" s="117"/>
      <c r="M9" s="117"/>
      <c r="N9" s="117"/>
      <c r="O9" s="117"/>
      <c r="P9" s="117"/>
      <c r="Q9" s="117"/>
      <c r="R9" s="117"/>
      <c r="S9" s="117"/>
      <c r="T9" s="117"/>
      <c r="U9" s="118" t="s">
        <v>15</v>
      </c>
      <c r="V9" s="45" t="s">
        <v>16</v>
      </c>
      <c r="W9" s="46" t="s">
        <v>17</v>
      </c>
      <c r="X9" s="47" t="s">
        <v>18</v>
      </c>
      <c r="Y9" s="48" t="s">
        <v>19</v>
      </c>
      <c r="Z9" s="46" t="s">
        <v>20</v>
      </c>
      <c r="AA9" s="48" t="s">
        <v>21</v>
      </c>
      <c r="AB9" s="48" t="s">
        <v>22</v>
      </c>
      <c r="AC9" s="48" t="s">
        <v>23</v>
      </c>
      <c r="AD9" s="49" t="s">
        <v>24</v>
      </c>
      <c r="AE9" s="50"/>
      <c r="AF9" s="50"/>
      <c r="AG9" s="51"/>
    </row>
    <row r="10" spans="1:33" s="2" customFormat="1" ht="45.75" hidden="1" thickBot="1" x14ac:dyDescent="0.3">
      <c r="A10" s="52" t="s">
        <v>25</v>
      </c>
      <c r="B10" s="53" t="s">
        <v>26</v>
      </c>
      <c r="C10" s="119" t="s">
        <v>27</v>
      </c>
      <c r="D10" s="119" t="s">
        <v>28</v>
      </c>
      <c r="E10" s="119" t="s">
        <v>29</v>
      </c>
      <c r="F10" s="55" t="s">
        <v>30</v>
      </c>
      <c r="G10" s="55" t="s">
        <v>31</v>
      </c>
      <c r="H10" s="55" t="s">
        <v>32</v>
      </c>
      <c r="I10" s="55" t="s">
        <v>33</v>
      </c>
      <c r="J10" s="120" t="s">
        <v>34</v>
      </c>
      <c r="K10" s="173"/>
      <c r="L10" s="173"/>
      <c r="M10" s="173"/>
      <c r="N10" s="173"/>
      <c r="O10" s="173"/>
      <c r="P10" s="54"/>
      <c r="Q10" s="54"/>
      <c r="R10" s="54"/>
      <c r="S10" s="54"/>
      <c r="T10" s="55"/>
      <c r="U10" s="121" t="s">
        <v>35</v>
      </c>
      <c r="V10" s="56" t="s">
        <v>36</v>
      </c>
      <c r="W10" s="46" t="s">
        <v>17</v>
      </c>
      <c r="X10" s="47" t="s">
        <v>18</v>
      </c>
      <c r="Y10" s="48" t="s">
        <v>19</v>
      </c>
      <c r="Z10" s="46" t="s">
        <v>20</v>
      </c>
      <c r="AA10" s="48" t="s">
        <v>21</v>
      </c>
      <c r="AB10" s="48" t="s">
        <v>22</v>
      </c>
      <c r="AC10" s="57"/>
      <c r="AD10" s="58"/>
      <c r="AE10" s="59"/>
      <c r="AF10" s="59"/>
      <c r="AG10" s="60"/>
    </row>
    <row r="11" spans="1:33" s="2" customFormat="1" ht="41.25" hidden="1" customHeight="1" thickBot="1" x14ac:dyDescent="0.3">
      <c r="A11" s="52" t="s">
        <v>37</v>
      </c>
      <c r="B11" s="53" t="s">
        <v>38</v>
      </c>
      <c r="C11" s="119" t="s">
        <v>39</v>
      </c>
      <c r="D11" s="119" t="s">
        <v>40</v>
      </c>
      <c r="E11" s="119" t="s">
        <v>41</v>
      </c>
      <c r="F11" s="55" t="s">
        <v>42</v>
      </c>
      <c r="G11" s="55" t="s">
        <v>43</v>
      </c>
      <c r="H11" s="55" t="s">
        <v>44</v>
      </c>
      <c r="I11" s="55" t="s">
        <v>45</v>
      </c>
      <c r="J11" s="120" t="s">
        <v>46</v>
      </c>
      <c r="K11" s="173" t="s">
        <v>47</v>
      </c>
      <c r="L11" s="173"/>
      <c r="M11" s="173"/>
      <c r="N11" s="173"/>
      <c r="O11" s="173"/>
      <c r="P11" s="54" t="s">
        <v>48</v>
      </c>
      <c r="Q11" s="54" t="s">
        <v>49</v>
      </c>
      <c r="R11" s="54" t="s">
        <v>50</v>
      </c>
      <c r="S11" s="54" t="s">
        <v>51</v>
      </c>
      <c r="T11" s="55" t="s">
        <v>52</v>
      </c>
      <c r="U11" s="121" t="s">
        <v>53</v>
      </c>
      <c r="V11" s="56" t="s">
        <v>54</v>
      </c>
      <c r="W11" s="46" t="s">
        <v>17</v>
      </c>
      <c r="X11" s="47" t="s">
        <v>18</v>
      </c>
      <c r="Y11" s="48" t="s">
        <v>19</v>
      </c>
      <c r="Z11" s="46" t="s">
        <v>20</v>
      </c>
      <c r="AA11" s="48" t="s">
        <v>21</v>
      </c>
      <c r="AB11" s="48" t="s">
        <v>22</v>
      </c>
      <c r="AC11" s="61"/>
      <c r="AD11" s="62"/>
      <c r="AE11" s="63"/>
      <c r="AF11" s="63"/>
      <c r="AG11" s="64"/>
    </row>
    <row r="12" spans="1:33" s="1" customFormat="1" x14ac:dyDescent="0.2">
      <c r="A12" s="65"/>
      <c r="B12" s="75"/>
      <c r="C12" s="122"/>
      <c r="D12" s="123"/>
      <c r="E12" s="124"/>
      <c r="F12" s="125"/>
      <c r="G12" s="125"/>
      <c r="H12" s="126"/>
      <c r="I12" s="126"/>
      <c r="J12" s="73"/>
      <c r="K12" s="127"/>
      <c r="L12" s="66"/>
      <c r="M12" s="66"/>
      <c r="N12" s="66"/>
      <c r="O12" s="66"/>
      <c r="P12" s="67"/>
      <c r="Q12" s="66"/>
      <c r="R12" s="66"/>
      <c r="S12" s="66"/>
      <c r="T12" s="68"/>
      <c r="U12" s="128"/>
      <c r="V12" s="69"/>
      <c r="W12" s="14"/>
      <c r="X12" s="70"/>
      <c r="Y12" s="14"/>
      <c r="Z12" s="14"/>
      <c r="AA12" s="71"/>
      <c r="AB12" s="14"/>
      <c r="AC12" s="15"/>
      <c r="AD12" s="16"/>
      <c r="AE12" s="14"/>
      <c r="AF12" s="14"/>
      <c r="AG12" s="17"/>
    </row>
    <row r="13" spans="1:33" s="1" customFormat="1" ht="18.75" x14ac:dyDescent="0.2">
      <c r="A13" s="129"/>
      <c r="B13" s="72" t="s">
        <v>55</v>
      </c>
      <c r="C13" s="122"/>
      <c r="D13" s="123"/>
      <c r="E13" s="124"/>
      <c r="F13" s="125"/>
      <c r="G13" s="125"/>
      <c r="H13" s="126"/>
      <c r="I13" s="126"/>
      <c r="J13" s="73"/>
      <c r="K13" s="127"/>
      <c r="L13" s="66"/>
      <c r="M13" s="66"/>
      <c r="N13" s="66"/>
      <c r="O13" s="66"/>
      <c r="P13" s="67"/>
      <c r="Q13" s="66"/>
      <c r="R13" s="66"/>
      <c r="S13" s="66"/>
      <c r="T13" s="68"/>
      <c r="U13" s="128"/>
      <c r="V13" s="130"/>
      <c r="W13" s="14"/>
      <c r="X13" s="70"/>
      <c r="Y13" s="14"/>
      <c r="Z13" s="14"/>
      <c r="AA13" s="71"/>
      <c r="AB13" s="14"/>
      <c r="AC13" s="15"/>
      <c r="AD13" s="16"/>
      <c r="AE13" s="14"/>
      <c r="AF13" s="14"/>
      <c r="AG13" s="17"/>
    </row>
    <row r="14" spans="1:33" s="1" customFormat="1" x14ac:dyDescent="0.2">
      <c r="A14" s="129"/>
      <c r="B14" s="74"/>
      <c r="C14" s="122"/>
      <c r="D14" s="123"/>
      <c r="E14" s="124"/>
      <c r="F14" s="125"/>
      <c r="G14" s="125"/>
      <c r="H14" s="126"/>
      <c r="I14" s="126"/>
      <c r="J14" s="73"/>
      <c r="K14" s="127"/>
      <c r="L14" s="66"/>
      <c r="M14" s="66"/>
      <c r="N14" s="66"/>
      <c r="O14" s="66"/>
      <c r="P14" s="67"/>
      <c r="Q14" s="66"/>
      <c r="R14" s="66"/>
      <c r="S14" s="66"/>
      <c r="T14" s="68"/>
      <c r="U14" s="128"/>
      <c r="V14" s="130"/>
      <c r="W14" s="14"/>
      <c r="X14" s="70"/>
      <c r="Y14" s="14"/>
      <c r="Z14" s="14"/>
      <c r="AA14" s="71"/>
      <c r="AB14" s="14"/>
      <c r="AC14" s="15"/>
      <c r="AD14" s="16"/>
      <c r="AE14" s="14"/>
      <c r="AF14" s="14"/>
      <c r="AG14" s="17"/>
    </row>
    <row r="15" spans="1:33" s="1" customFormat="1" x14ac:dyDescent="0.25">
      <c r="A15" s="129" t="s">
        <v>56</v>
      </c>
      <c r="B15" s="75" t="s">
        <v>57</v>
      </c>
      <c r="C15" s="122" t="s">
        <v>58</v>
      </c>
      <c r="D15" s="123" t="s">
        <v>59</v>
      </c>
      <c r="E15" s="124" t="s">
        <v>60</v>
      </c>
      <c r="F15" s="125"/>
      <c r="G15" s="125">
        <f>F15*J15</f>
        <v>0</v>
      </c>
      <c r="H15" s="126"/>
      <c r="I15" s="126">
        <f>H15*J15</f>
        <v>0</v>
      </c>
      <c r="J15" s="73">
        <v>1</v>
      </c>
      <c r="K15" s="127"/>
      <c r="L15" s="66" t="s">
        <v>61</v>
      </c>
      <c r="M15" s="66"/>
      <c r="N15" s="66" t="s">
        <v>61</v>
      </c>
      <c r="O15" s="66"/>
      <c r="P15" s="67">
        <v>1</v>
      </c>
      <c r="Q15" s="66">
        <f>(K15* M15* O15*P15) / (1000*1000*1000)</f>
        <v>0</v>
      </c>
      <c r="R15" s="66" t="s">
        <v>62</v>
      </c>
      <c r="S15" s="66">
        <f>F15*P15</f>
        <v>0</v>
      </c>
      <c r="T15" s="68">
        <f>0*P15</f>
        <v>0</v>
      </c>
      <c r="U15" s="128"/>
      <c r="V15" s="130"/>
      <c r="W15" s="26"/>
      <c r="X15" s="76"/>
      <c r="Y15" s="26"/>
      <c r="Z15" s="26"/>
      <c r="AA15" s="77"/>
      <c r="AB15" s="26"/>
      <c r="AC15" s="78"/>
      <c r="AD15" s="16"/>
      <c r="AE15" s="14"/>
      <c r="AF15" s="14"/>
      <c r="AG15" s="17"/>
    </row>
    <row r="16" spans="1:33" x14ac:dyDescent="0.25">
      <c r="A16" s="79"/>
      <c r="B16" s="113"/>
      <c r="C16" s="113"/>
      <c r="D16" s="113"/>
      <c r="E16" s="113"/>
      <c r="F16" s="113"/>
      <c r="G16" s="113"/>
      <c r="H16" s="113"/>
      <c r="I16" s="113"/>
      <c r="J16" s="114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5"/>
      <c r="V16" s="80"/>
    </row>
    <row r="17" spans="1:29" x14ac:dyDescent="0.25">
      <c r="A17" s="79" t="s">
        <v>63</v>
      </c>
      <c r="B17" s="131" t="s">
        <v>64</v>
      </c>
      <c r="C17" s="132" t="s">
        <v>65</v>
      </c>
      <c r="D17" s="132" t="s">
        <v>66</v>
      </c>
      <c r="E17" s="132" t="s">
        <v>67</v>
      </c>
      <c r="F17" s="132">
        <v>12</v>
      </c>
      <c r="G17" s="132">
        <f>F17*J17</f>
        <v>12</v>
      </c>
      <c r="H17" s="132">
        <v>0.43000000000000005</v>
      </c>
      <c r="I17" s="132">
        <f>H17*J17</f>
        <v>0.43</v>
      </c>
      <c r="J17" s="133">
        <v>1</v>
      </c>
      <c r="K17" s="132">
        <v>650</v>
      </c>
      <c r="L17" s="132" t="s">
        <v>61</v>
      </c>
      <c r="M17" s="132">
        <v>960</v>
      </c>
      <c r="N17" s="132" t="s">
        <v>61</v>
      </c>
      <c r="O17" s="132">
        <v>300</v>
      </c>
      <c r="P17" s="132">
        <v>1</v>
      </c>
      <c r="Q17" s="132">
        <f>(K17* M17* O17*P17) / (1000*1000*1000)</f>
        <v>0.19</v>
      </c>
      <c r="R17" s="132" t="s">
        <v>62</v>
      </c>
      <c r="S17" s="132">
        <f>F17*P17</f>
        <v>12</v>
      </c>
      <c r="T17" s="132">
        <f>17*P17</f>
        <v>17</v>
      </c>
      <c r="U17" s="134">
        <v>94.6</v>
      </c>
      <c r="V17" s="81">
        <f>U17*J17</f>
        <v>94.6</v>
      </c>
      <c r="W17" s="82"/>
      <c r="X17" s="83"/>
      <c r="Y17" s="84"/>
      <c r="Z17" s="82"/>
      <c r="AA17" s="84"/>
      <c r="AB17" s="84"/>
      <c r="AC17" s="84"/>
    </row>
    <row r="18" spans="1:29" x14ac:dyDescent="0.25">
      <c r="A18" s="79"/>
      <c r="B18" s="113"/>
      <c r="C18" s="113"/>
      <c r="D18" s="113"/>
      <c r="E18" s="113"/>
      <c r="F18" s="113"/>
      <c r="G18" s="113"/>
      <c r="H18" s="113"/>
      <c r="I18" s="113"/>
      <c r="J18" s="114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5"/>
      <c r="V18" s="80"/>
    </row>
    <row r="19" spans="1:29" x14ac:dyDescent="0.25">
      <c r="A19" s="79" t="s">
        <v>68</v>
      </c>
      <c r="B19" s="131" t="s">
        <v>69</v>
      </c>
      <c r="C19" s="132" t="s">
        <v>65</v>
      </c>
      <c r="D19" s="132" t="s">
        <v>70</v>
      </c>
      <c r="E19" s="132" t="s">
        <v>71</v>
      </c>
      <c r="F19" s="132">
        <v>0</v>
      </c>
      <c r="G19" s="132">
        <f>F19*J19</f>
        <v>0</v>
      </c>
      <c r="H19" s="132">
        <v>1.03</v>
      </c>
      <c r="I19" s="132">
        <f>H19*J19</f>
        <v>8.24</v>
      </c>
      <c r="J19" s="133">
        <v>8</v>
      </c>
      <c r="K19" s="132">
        <v>1320</v>
      </c>
      <c r="L19" s="132" t="s">
        <v>61</v>
      </c>
      <c r="M19" s="132">
        <v>630</v>
      </c>
      <c r="N19" s="132" t="s">
        <v>61</v>
      </c>
      <c r="O19" s="132">
        <v>250</v>
      </c>
      <c r="P19" s="132">
        <v>8</v>
      </c>
      <c r="Q19" s="132">
        <f>(K19* M19* O19*P19) / (1000*1000*1000)</f>
        <v>1.66</v>
      </c>
      <c r="R19" s="132" t="s">
        <v>62</v>
      </c>
      <c r="S19" s="132">
        <f>F19*P19</f>
        <v>0</v>
      </c>
      <c r="T19" s="132">
        <f>0*P19</f>
        <v>0</v>
      </c>
      <c r="U19" s="134">
        <v>127.28</v>
      </c>
      <c r="V19" s="81">
        <f>U19*J19</f>
        <v>1018.24</v>
      </c>
      <c r="W19" s="82"/>
      <c r="X19" s="83"/>
      <c r="Y19" s="84"/>
      <c r="Z19" s="82"/>
      <c r="AA19" s="84"/>
      <c r="AB19" s="84"/>
      <c r="AC19" s="84"/>
    </row>
    <row r="20" spans="1:29" x14ac:dyDescent="0.25">
      <c r="A20" s="79"/>
      <c r="B20" s="113"/>
      <c r="C20" s="113"/>
      <c r="D20" s="113"/>
      <c r="E20" s="113"/>
      <c r="F20" s="113"/>
      <c r="G20" s="113"/>
      <c r="H20" s="113"/>
      <c r="I20" s="113"/>
      <c r="J20" s="114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5"/>
      <c r="V20" s="80"/>
    </row>
    <row r="21" spans="1:29" x14ac:dyDescent="0.25">
      <c r="A21" s="79" t="s">
        <v>72</v>
      </c>
      <c r="B21" s="131" t="s">
        <v>73</v>
      </c>
      <c r="C21" s="132" t="s">
        <v>58</v>
      </c>
      <c r="D21" s="132" t="s">
        <v>74</v>
      </c>
      <c r="E21" s="132" t="s">
        <v>75</v>
      </c>
      <c r="F21" s="132"/>
      <c r="G21" s="132">
        <f>F21*J21</f>
        <v>0</v>
      </c>
      <c r="H21" s="132"/>
      <c r="I21" s="132">
        <f>H21*J21</f>
        <v>0</v>
      </c>
      <c r="J21" s="133">
        <v>4</v>
      </c>
      <c r="K21" s="132"/>
      <c r="L21" s="132" t="s">
        <v>61</v>
      </c>
      <c r="M21" s="132"/>
      <c r="N21" s="132" t="s">
        <v>61</v>
      </c>
      <c r="O21" s="132"/>
      <c r="P21" s="132">
        <v>4</v>
      </c>
      <c r="Q21" s="132">
        <f>(K21* M21* O21*P21) / (1000*1000*1000)</f>
        <v>0</v>
      </c>
      <c r="R21" s="132" t="s">
        <v>62</v>
      </c>
      <c r="S21" s="132">
        <f>F21*P21</f>
        <v>0</v>
      </c>
      <c r="T21" s="132">
        <f>0*P21</f>
        <v>0</v>
      </c>
      <c r="U21" s="134">
        <v>21.54</v>
      </c>
      <c r="V21" s="81">
        <f>U21*J21</f>
        <v>86.16</v>
      </c>
      <c r="W21" s="82"/>
      <c r="X21" s="83"/>
      <c r="Y21" s="84"/>
      <c r="Z21" s="82"/>
      <c r="AA21" s="84"/>
      <c r="AB21" s="84"/>
      <c r="AC21" s="84"/>
    </row>
    <row r="22" spans="1:29" x14ac:dyDescent="0.25">
      <c r="A22" s="79"/>
      <c r="B22" s="113"/>
      <c r="C22" s="113"/>
      <c r="D22" s="113"/>
      <c r="E22" s="113"/>
      <c r="F22" s="113"/>
      <c r="G22" s="113"/>
      <c r="H22" s="113"/>
      <c r="I22" s="113"/>
      <c r="J22" s="114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5"/>
      <c r="V22" s="80"/>
    </row>
    <row r="23" spans="1:29" x14ac:dyDescent="0.25">
      <c r="A23" s="79" t="s">
        <v>76</v>
      </c>
      <c r="B23" s="131" t="s">
        <v>77</v>
      </c>
      <c r="C23" s="132" t="s">
        <v>78</v>
      </c>
      <c r="D23" s="132" t="s">
        <v>79</v>
      </c>
      <c r="E23" s="132" t="s">
        <v>60</v>
      </c>
      <c r="F23" s="132"/>
      <c r="G23" s="132">
        <f>F23*J23</f>
        <v>0</v>
      </c>
      <c r="H23" s="132"/>
      <c r="I23" s="132">
        <f>H23*J23</f>
        <v>0</v>
      </c>
      <c r="J23" s="133">
        <v>1</v>
      </c>
      <c r="K23" s="132"/>
      <c r="L23" s="132" t="s">
        <v>61</v>
      </c>
      <c r="M23" s="132"/>
      <c r="N23" s="132" t="s">
        <v>61</v>
      </c>
      <c r="O23" s="132"/>
      <c r="P23" s="132">
        <v>1</v>
      </c>
      <c r="Q23" s="132">
        <f>(K23* M23* O23*P23) / (1000*1000*1000)</f>
        <v>0</v>
      </c>
      <c r="R23" s="132" t="s">
        <v>62</v>
      </c>
      <c r="S23" s="132">
        <f>F23*P23</f>
        <v>0</v>
      </c>
      <c r="T23" s="132">
        <f>0*P23</f>
        <v>0</v>
      </c>
      <c r="U23" s="134">
        <v>45.15</v>
      </c>
      <c r="V23" s="81">
        <f>U23*J23</f>
        <v>45.15</v>
      </c>
      <c r="W23" s="82"/>
      <c r="X23" s="83"/>
      <c r="Y23" s="84"/>
      <c r="Z23" s="82"/>
      <c r="AA23" s="84"/>
      <c r="AB23" s="84"/>
      <c r="AC23" s="84"/>
    </row>
    <row r="24" spans="1:29" x14ac:dyDescent="0.25">
      <c r="A24" s="79"/>
      <c r="B24" s="113"/>
      <c r="C24" s="113"/>
      <c r="D24" s="113"/>
      <c r="E24" s="113"/>
      <c r="F24" s="113"/>
      <c r="G24" s="113"/>
      <c r="H24" s="113"/>
      <c r="I24" s="113"/>
      <c r="J24" s="114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5"/>
      <c r="V24" s="80"/>
    </row>
    <row r="25" spans="1:29" x14ac:dyDescent="0.25">
      <c r="A25" s="79" t="s">
        <v>80</v>
      </c>
      <c r="B25" s="131" t="s">
        <v>81</v>
      </c>
      <c r="C25" s="132" t="s">
        <v>65</v>
      </c>
      <c r="D25" s="132" t="s">
        <v>82</v>
      </c>
      <c r="E25" s="132" t="s">
        <v>83</v>
      </c>
      <c r="F25" s="132">
        <v>7</v>
      </c>
      <c r="G25" s="132">
        <f>F25*J25</f>
        <v>7</v>
      </c>
      <c r="H25" s="132">
        <v>0.05</v>
      </c>
      <c r="I25" s="132">
        <f>H25*J25</f>
        <v>0.05</v>
      </c>
      <c r="J25" s="133">
        <v>1</v>
      </c>
      <c r="K25" s="132">
        <v>605</v>
      </c>
      <c r="L25" s="132" t="s">
        <v>61</v>
      </c>
      <c r="M25" s="132">
        <v>550</v>
      </c>
      <c r="N25" s="132" t="s">
        <v>61</v>
      </c>
      <c r="O25" s="132">
        <v>320</v>
      </c>
      <c r="P25" s="132">
        <v>1</v>
      </c>
      <c r="Q25" s="132">
        <f>(K25* M25* O25*P25) / (1000*1000*1000)</f>
        <v>0.11</v>
      </c>
      <c r="R25" s="132" t="s">
        <v>62</v>
      </c>
      <c r="S25" s="132">
        <f>F25*P25</f>
        <v>7</v>
      </c>
      <c r="T25" s="132">
        <f>12*P25</f>
        <v>12</v>
      </c>
      <c r="U25" s="134">
        <v>86</v>
      </c>
      <c r="V25" s="81">
        <f>U25*J25</f>
        <v>86</v>
      </c>
      <c r="W25" s="82"/>
      <c r="X25" s="83"/>
      <c r="Y25" s="84"/>
      <c r="Z25" s="82"/>
      <c r="AA25" s="84"/>
      <c r="AB25" s="84"/>
      <c r="AC25" s="84"/>
    </row>
    <row r="26" spans="1:29" x14ac:dyDescent="0.25">
      <c r="A26" s="79"/>
      <c r="B26" s="113"/>
      <c r="C26" s="113"/>
      <c r="D26" s="113"/>
      <c r="E26" s="113"/>
      <c r="F26" s="113"/>
      <c r="G26" s="113"/>
      <c r="H26" s="113"/>
      <c r="I26" s="113"/>
      <c r="J26" s="114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5"/>
      <c r="V26" s="80"/>
    </row>
    <row r="27" spans="1:29" ht="18.75" x14ac:dyDescent="0.3">
      <c r="A27" s="79"/>
      <c r="B27" s="135" t="s">
        <v>84</v>
      </c>
      <c r="C27" s="113"/>
      <c r="D27" s="113"/>
      <c r="E27" s="113"/>
      <c r="F27" s="113"/>
      <c r="G27" s="113"/>
      <c r="H27" s="113"/>
      <c r="I27" s="113"/>
      <c r="J27" s="114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5"/>
      <c r="V27" s="80"/>
    </row>
    <row r="28" spans="1:29" x14ac:dyDescent="0.25">
      <c r="A28" s="79"/>
      <c r="B28" s="113"/>
      <c r="C28" s="113"/>
      <c r="D28" s="113"/>
      <c r="E28" s="113"/>
      <c r="F28" s="113"/>
      <c r="G28" s="113"/>
      <c r="H28" s="113"/>
      <c r="I28" s="113"/>
      <c r="J28" s="114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5"/>
      <c r="V28" s="80"/>
    </row>
    <row r="29" spans="1:29" x14ac:dyDescent="0.25">
      <c r="A29" s="79" t="s">
        <v>85</v>
      </c>
      <c r="B29" s="131" t="s">
        <v>69</v>
      </c>
      <c r="C29" s="132" t="s">
        <v>65</v>
      </c>
      <c r="D29" s="132" t="s">
        <v>70</v>
      </c>
      <c r="E29" s="132" t="s">
        <v>71</v>
      </c>
      <c r="F29" s="132">
        <v>0</v>
      </c>
      <c r="G29" s="132">
        <f>F29*J29</f>
        <v>0</v>
      </c>
      <c r="H29" s="132">
        <v>1.03</v>
      </c>
      <c r="I29" s="132">
        <f>H29*J29</f>
        <v>4.12</v>
      </c>
      <c r="J29" s="133">
        <v>4</v>
      </c>
      <c r="K29" s="132">
        <v>1320</v>
      </c>
      <c r="L29" s="132" t="s">
        <v>61</v>
      </c>
      <c r="M29" s="132">
        <v>630</v>
      </c>
      <c r="N29" s="132" t="s">
        <v>61</v>
      </c>
      <c r="O29" s="132">
        <v>250</v>
      </c>
      <c r="P29" s="132">
        <v>4</v>
      </c>
      <c r="Q29" s="132">
        <f>(K29* M29* O29*P29) / (1000*1000*1000)</f>
        <v>0.83</v>
      </c>
      <c r="R29" s="132" t="s">
        <v>62</v>
      </c>
      <c r="S29" s="132">
        <f>F29*P29</f>
        <v>0</v>
      </c>
      <c r="T29" s="132">
        <f>0*P29</f>
        <v>0</v>
      </c>
      <c r="U29" s="134">
        <v>127.28</v>
      </c>
      <c r="V29" s="81">
        <f>U29*J29</f>
        <v>509.12</v>
      </c>
      <c r="W29" s="82"/>
      <c r="X29" s="83"/>
      <c r="Y29" s="84"/>
      <c r="Z29" s="82"/>
      <c r="AA29" s="84"/>
      <c r="AB29" s="84"/>
      <c r="AC29" s="84"/>
    </row>
    <row r="30" spans="1:29" x14ac:dyDescent="0.25">
      <c r="A30" s="79"/>
      <c r="B30" s="113"/>
      <c r="C30" s="113"/>
      <c r="D30" s="113"/>
      <c r="E30" s="113"/>
      <c r="F30" s="113"/>
      <c r="G30" s="113"/>
      <c r="H30" s="113"/>
      <c r="I30" s="113"/>
      <c r="J30" s="114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5"/>
      <c r="V30" s="80"/>
    </row>
    <row r="31" spans="1:29" x14ac:dyDescent="0.25">
      <c r="A31" s="79" t="s">
        <v>86</v>
      </c>
      <c r="B31" s="131" t="s">
        <v>73</v>
      </c>
      <c r="C31" s="132" t="s">
        <v>58</v>
      </c>
      <c r="D31" s="132" t="s">
        <v>74</v>
      </c>
      <c r="E31" s="132" t="s">
        <v>75</v>
      </c>
      <c r="F31" s="132"/>
      <c r="G31" s="132">
        <f>F31*J31</f>
        <v>0</v>
      </c>
      <c r="H31" s="132"/>
      <c r="I31" s="132">
        <f>H31*J31</f>
        <v>0</v>
      </c>
      <c r="J31" s="133">
        <v>1</v>
      </c>
      <c r="K31" s="132"/>
      <c r="L31" s="132" t="s">
        <v>61</v>
      </c>
      <c r="M31" s="132"/>
      <c r="N31" s="132" t="s">
        <v>61</v>
      </c>
      <c r="O31" s="132"/>
      <c r="P31" s="132">
        <v>1</v>
      </c>
      <c r="Q31" s="132">
        <f>(K31* M31* O31*P31) / (1000*1000*1000)</f>
        <v>0</v>
      </c>
      <c r="R31" s="132" t="s">
        <v>62</v>
      </c>
      <c r="S31" s="132">
        <f>F31*P31</f>
        <v>0</v>
      </c>
      <c r="T31" s="132">
        <f>0*P31</f>
        <v>0</v>
      </c>
      <c r="U31" s="134">
        <v>21.54</v>
      </c>
      <c r="V31" s="81">
        <f>U31*J31</f>
        <v>21.54</v>
      </c>
      <c r="W31" s="82"/>
      <c r="X31" s="83"/>
      <c r="Y31" s="84"/>
      <c r="Z31" s="82"/>
      <c r="AA31" s="84"/>
      <c r="AB31" s="84"/>
      <c r="AC31" s="84"/>
    </row>
    <row r="32" spans="1:29" x14ac:dyDescent="0.25">
      <c r="A32" s="79"/>
      <c r="B32" s="113"/>
      <c r="C32" s="113"/>
      <c r="D32" s="113"/>
      <c r="E32" s="113"/>
      <c r="F32" s="113"/>
      <c r="G32" s="113"/>
      <c r="H32" s="113"/>
      <c r="I32" s="113"/>
      <c r="J32" s="114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5"/>
      <c r="V32" s="80"/>
    </row>
    <row r="33" spans="1:29" ht="18.75" x14ac:dyDescent="0.3">
      <c r="A33" s="79"/>
      <c r="B33" s="135" t="s">
        <v>87</v>
      </c>
      <c r="C33" s="113"/>
      <c r="D33" s="113"/>
      <c r="E33" s="113"/>
      <c r="F33" s="113"/>
      <c r="G33" s="113"/>
      <c r="H33" s="113"/>
      <c r="I33" s="113"/>
      <c r="J33" s="114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5"/>
      <c r="V33" s="80"/>
    </row>
    <row r="34" spans="1:29" x14ac:dyDescent="0.25">
      <c r="A34" s="79"/>
      <c r="B34" s="113"/>
      <c r="C34" s="113"/>
      <c r="D34" s="113"/>
      <c r="E34" s="113"/>
      <c r="F34" s="113"/>
      <c r="G34" s="113"/>
      <c r="H34" s="113"/>
      <c r="I34" s="113"/>
      <c r="J34" s="114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5"/>
      <c r="V34" s="80"/>
    </row>
    <row r="35" spans="1:29" x14ac:dyDescent="0.25">
      <c r="A35" s="79" t="s">
        <v>88</v>
      </c>
      <c r="B35" s="131" t="s">
        <v>69</v>
      </c>
      <c r="C35" s="132" t="s">
        <v>65</v>
      </c>
      <c r="D35" s="132" t="s">
        <v>70</v>
      </c>
      <c r="E35" s="132" t="s">
        <v>71</v>
      </c>
      <c r="F35" s="132">
        <v>0</v>
      </c>
      <c r="G35" s="132">
        <f>F35*J35</f>
        <v>0</v>
      </c>
      <c r="H35" s="132">
        <v>1.03</v>
      </c>
      <c r="I35" s="132">
        <f>H35*J35</f>
        <v>2.06</v>
      </c>
      <c r="J35" s="133">
        <v>2</v>
      </c>
      <c r="K35" s="132">
        <v>1320</v>
      </c>
      <c r="L35" s="132" t="s">
        <v>61</v>
      </c>
      <c r="M35" s="132">
        <v>630</v>
      </c>
      <c r="N35" s="132" t="s">
        <v>61</v>
      </c>
      <c r="O35" s="132">
        <v>250</v>
      </c>
      <c r="P35" s="132">
        <v>2</v>
      </c>
      <c r="Q35" s="132">
        <f>(K35* M35* O35*P35) / (1000*1000*1000)</f>
        <v>0.42</v>
      </c>
      <c r="R35" s="132" t="s">
        <v>62</v>
      </c>
      <c r="S35" s="132">
        <f>F35*P35</f>
        <v>0</v>
      </c>
      <c r="T35" s="132">
        <f>0*P35</f>
        <v>0</v>
      </c>
      <c r="U35" s="134">
        <v>127.28</v>
      </c>
      <c r="V35" s="81">
        <f>U35*J35</f>
        <v>254.56</v>
      </c>
      <c r="W35" s="82"/>
      <c r="X35" s="83"/>
      <c r="Y35" s="84"/>
      <c r="Z35" s="82"/>
      <c r="AA35" s="84"/>
      <c r="AB35" s="84"/>
      <c r="AC35" s="84"/>
    </row>
    <row r="36" spans="1:29" x14ac:dyDescent="0.25">
      <c r="A36" s="79"/>
      <c r="B36" s="113"/>
      <c r="C36" s="113"/>
      <c r="D36" s="113"/>
      <c r="E36" s="113"/>
      <c r="F36" s="113"/>
      <c r="G36" s="113"/>
      <c r="H36" s="113"/>
      <c r="I36" s="113"/>
      <c r="J36" s="114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5"/>
      <c r="V36" s="80"/>
    </row>
    <row r="37" spans="1:29" x14ac:dyDescent="0.25">
      <c r="A37" s="79" t="s">
        <v>89</v>
      </c>
      <c r="B37" s="131" t="s">
        <v>69</v>
      </c>
      <c r="C37" s="132" t="s">
        <v>65</v>
      </c>
      <c r="D37" s="132" t="s">
        <v>90</v>
      </c>
      <c r="E37" s="132" t="s">
        <v>91</v>
      </c>
      <c r="F37" s="132">
        <v>0</v>
      </c>
      <c r="G37" s="132">
        <f>F37*J37</f>
        <v>0</v>
      </c>
      <c r="H37" s="132">
        <v>1.29</v>
      </c>
      <c r="I37" s="132">
        <f>H37*J37</f>
        <v>3.87</v>
      </c>
      <c r="J37" s="133">
        <v>3</v>
      </c>
      <c r="K37" s="132">
        <v>1620</v>
      </c>
      <c r="L37" s="132" t="s">
        <v>61</v>
      </c>
      <c r="M37" s="132">
        <v>630</v>
      </c>
      <c r="N37" s="132" t="s">
        <v>61</v>
      </c>
      <c r="O37" s="132">
        <v>250</v>
      </c>
      <c r="P37" s="132">
        <v>3</v>
      </c>
      <c r="Q37" s="132">
        <f>(K37* M37* O37*P37) / (1000*1000*1000)</f>
        <v>0.77</v>
      </c>
      <c r="R37" s="132" t="s">
        <v>62</v>
      </c>
      <c r="S37" s="132">
        <f>F37*P37</f>
        <v>0</v>
      </c>
      <c r="T37" s="132">
        <f>0*P37</f>
        <v>0</v>
      </c>
      <c r="U37" s="134">
        <v>144.48000000000002</v>
      </c>
      <c r="V37" s="81">
        <f>U37*J37</f>
        <v>433.44</v>
      </c>
      <c r="W37" s="82"/>
      <c r="X37" s="83"/>
      <c r="Y37" s="84"/>
      <c r="Z37" s="82"/>
      <c r="AA37" s="84"/>
      <c r="AB37" s="84"/>
      <c r="AC37" s="84"/>
    </row>
    <row r="38" spans="1:29" x14ac:dyDescent="0.25">
      <c r="A38" s="79"/>
      <c r="B38" s="113"/>
      <c r="C38" s="113"/>
      <c r="D38" s="113"/>
      <c r="E38" s="113"/>
      <c r="F38" s="113"/>
      <c r="G38" s="113"/>
      <c r="H38" s="113"/>
      <c r="I38" s="113"/>
      <c r="J38" s="114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5"/>
      <c r="V38" s="80"/>
    </row>
    <row r="39" spans="1:29" x14ac:dyDescent="0.25">
      <c r="A39" s="79" t="s">
        <v>92</v>
      </c>
      <c r="B39" s="131" t="s">
        <v>73</v>
      </c>
      <c r="C39" s="132" t="s">
        <v>58</v>
      </c>
      <c r="D39" s="132" t="s">
        <v>74</v>
      </c>
      <c r="E39" s="132" t="s">
        <v>75</v>
      </c>
      <c r="F39" s="132"/>
      <c r="G39" s="132">
        <f>F39*J39</f>
        <v>0</v>
      </c>
      <c r="H39" s="132"/>
      <c r="I39" s="132">
        <f>H39*J39</f>
        <v>0</v>
      </c>
      <c r="J39" s="133">
        <v>2</v>
      </c>
      <c r="K39" s="132"/>
      <c r="L39" s="132" t="s">
        <v>61</v>
      </c>
      <c r="M39" s="132"/>
      <c r="N39" s="132" t="s">
        <v>61</v>
      </c>
      <c r="O39" s="132"/>
      <c r="P39" s="132">
        <v>2</v>
      </c>
      <c r="Q39" s="132">
        <f>(K39* M39* O39*P39) / (1000*1000*1000)</f>
        <v>0</v>
      </c>
      <c r="R39" s="132" t="s">
        <v>62</v>
      </c>
      <c r="S39" s="132">
        <f>F39*P39</f>
        <v>0</v>
      </c>
      <c r="T39" s="132">
        <f>0*P39</f>
        <v>0</v>
      </c>
      <c r="U39" s="134">
        <v>21.54</v>
      </c>
      <c r="V39" s="81">
        <f>U39*J39</f>
        <v>43.08</v>
      </c>
      <c r="W39" s="82"/>
      <c r="X39" s="83"/>
      <c r="Y39" s="84"/>
      <c r="Z39" s="82"/>
      <c r="AA39" s="84"/>
      <c r="AB39" s="84"/>
      <c r="AC39" s="84"/>
    </row>
    <row r="40" spans="1:29" x14ac:dyDescent="0.25">
      <c r="A40" s="79"/>
      <c r="B40" s="113"/>
      <c r="C40" s="113"/>
      <c r="D40" s="113"/>
      <c r="E40" s="113"/>
      <c r="F40" s="113"/>
      <c r="G40" s="113"/>
      <c r="H40" s="113"/>
      <c r="I40" s="113"/>
      <c r="J40" s="114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5"/>
      <c r="V40" s="80"/>
    </row>
    <row r="41" spans="1:29" ht="15.75" thickBot="1" x14ac:dyDescent="0.3">
      <c r="A41" s="136"/>
      <c r="B41" s="137"/>
      <c r="C41" s="137"/>
      <c r="D41" s="137"/>
      <c r="E41" s="137"/>
      <c r="F41" s="137"/>
      <c r="G41" s="137"/>
      <c r="H41" s="137"/>
      <c r="I41" s="137"/>
      <c r="J41" s="138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9"/>
      <c r="V41" s="140"/>
    </row>
    <row r="42" spans="1:29" ht="18.75" x14ac:dyDescent="0.3">
      <c r="A42" s="141"/>
      <c r="B42" s="142" t="s">
        <v>93</v>
      </c>
      <c r="C42" s="143"/>
      <c r="D42" s="143"/>
      <c r="E42" s="143"/>
      <c r="F42" s="143"/>
      <c r="G42" s="143"/>
      <c r="H42" s="143"/>
      <c r="I42" s="143"/>
      <c r="J42" s="144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5"/>
      <c r="V42" s="146"/>
    </row>
    <row r="43" spans="1:29" ht="6" customHeight="1" x14ac:dyDescent="0.25">
      <c r="A43" s="79"/>
      <c r="B43" s="113"/>
      <c r="C43" s="113"/>
      <c r="D43" s="113"/>
      <c r="E43" s="113"/>
      <c r="F43" s="113"/>
      <c r="G43" s="113"/>
      <c r="H43" s="113"/>
      <c r="I43" s="113"/>
      <c r="J43" s="114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5"/>
      <c r="V43" s="80"/>
    </row>
    <row r="44" spans="1:29" x14ac:dyDescent="0.25">
      <c r="A44" s="79" t="s">
        <v>94</v>
      </c>
      <c r="B44" s="131" t="s">
        <v>69</v>
      </c>
      <c r="C44" s="132" t="s">
        <v>65</v>
      </c>
      <c r="D44" s="132" t="s">
        <v>70</v>
      </c>
      <c r="E44" s="132" t="s">
        <v>71</v>
      </c>
      <c r="F44" s="132">
        <v>0</v>
      </c>
      <c r="G44" s="132">
        <f>F44*J44</f>
        <v>0</v>
      </c>
      <c r="H44" s="132">
        <v>1.03</v>
      </c>
      <c r="I44" s="132">
        <f>H44*J44</f>
        <v>2.06</v>
      </c>
      <c r="J44" s="133">
        <v>2</v>
      </c>
      <c r="K44" s="132">
        <v>1320</v>
      </c>
      <c r="L44" s="132" t="s">
        <v>61</v>
      </c>
      <c r="M44" s="132">
        <v>630</v>
      </c>
      <c r="N44" s="132" t="s">
        <v>61</v>
      </c>
      <c r="O44" s="132">
        <v>250</v>
      </c>
      <c r="P44" s="132">
        <v>2</v>
      </c>
      <c r="Q44" s="132">
        <f>(K44* M44* O44*P44) / (1000*1000*1000)</f>
        <v>0.42</v>
      </c>
      <c r="R44" s="132" t="s">
        <v>62</v>
      </c>
      <c r="S44" s="132">
        <f>F44*P44</f>
        <v>0</v>
      </c>
      <c r="T44" s="132">
        <f>0*P44</f>
        <v>0</v>
      </c>
      <c r="U44" s="134">
        <v>127.28</v>
      </c>
      <c r="V44" s="81">
        <f>U44*J44</f>
        <v>254.56</v>
      </c>
      <c r="W44" s="82"/>
      <c r="X44" s="83"/>
      <c r="Y44" s="84"/>
      <c r="Z44" s="82"/>
      <c r="AA44" s="84"/>
      <c r="AB44" s="84"/>
      <c r="AC44" s="84"/>
    </row>
    <row r="45" spans="1:29" x14ac:dyDescent="0.25">
      <c r="A45" s="79"/>
      <c r="B45" s="113"/>
      <c r="C45" s="113"/>
      <c r="D45" s="113"/>
      <c r="E45" s="113"/>
      <c r="F45" s="113"/>
      <c r="G45" s="113"/>
      <c r="H45" s="113"/>
      <c r="I45" s="113"/>
      <c r="J45" s="114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5"/>
      <c r="V45" s="80"/>
    </row>
    <row r="46" spans="1:29" x14ac:dyDescent="0.25">
      <c r="A46" s="79" t="s">
        <v>95</v>
      </c>
      <c r="B46" s="131" t="s">
        <v>69</v>
      </c>
      <c r="C46" s="132" t="s">
        <v>65</v>
      </c>
      <c r="D46" s="132" t="s">
        <v>96</v>
      </c>
      <c r="E46" s="132" t="s">
        <v>97</v>
      </c>
      <c r="F46" s="132">
        <v>0</v>
      </c>
      <c r="G46" s="132">
        <f>F46*J46</f>
        <v>0</v>
      </c>
      <c r="H46" s="132">
        <v>1.1600000000000001</v>
      </c>
      <c r="I46" s="132">
        <f>H46*J46</f>
        <v>3.48</v>
      </c>
      <c r="J46" s="133">
        <v>3</v>
      </c>
      <c r="K46" s="132">
        <v>1470</v>
      </c>
      <c r="L46" s="132" t="s">
        <v>61</v>
      </c>
      <c r="M46" s="132">
        <v>630</v>
      </c>
      <c r="N46" s="132" t="s">
        <v>61</v>
      </c>
      <c r="O46" s="132">
        <v>250</v>
      </c>
      <c r="P46" s="132">
        <v>3</v>
      </c>
      <c r="Q46" s="132">
        <f>(K46* M46* O46*P46) / (1000*1000*1000)</f>
        <v>0.69</v>
      </c>
      <c r="R46" s="132" t="s">
        <v>62</v>
      </c>
      <c r="S46" s="132">
        <f>F46*P46</f>
        <v>0</v>
      </c>
      <c r="T46" s="132">
        <f>0*P46</f>
        <v>0</v>
      </c>
      <c r="U46" s="134">
        <v>137.6</v>
      </c>
      <c r="V46" s="81">
        <f>U46*J46</f>
        <v>412.8</v>
      </c>
      <c r="W46" s="82"/>
      <c r="X46" s="83"/>
      <c r="Y46" s="84"/>
      <c r="Z46" s="82"/>
      <c r="AA46" s="84"/>
      <c r="AB46" s="84"/>
      <c r="AC46" s="84"/>
    </row>
    <row r="47" spans="1:29" x14ac:dyDescent="0.25">
      <c r="A47" s="79"/>
      <c r="B47" s="113"/>
      <c r="C47" s="113"/>
      <c r="D47" s="113"/>
      <c r="E47" s="113"/>
      <c r="F47" s="113"/>
      <c r="G47" s="113"/>
      <c r="H47" s="113"/>
      <c r="I47" s="113"/>
      <c r="J47" s="114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5"/>
      <c r="V47" s="80"/>
    </row>
    <row r="48" spans="1:29" ht="18.75" x14ac:dyDescent="0.3">
      <c r="A48" s="79"/>
      <c r="B48" s="135" t="s">
        <v>98</v>
      </c>
      <c r="C48" s="113"/>
      <c r="D48" s="113"/>
      <c r="E48" s="113"/>
      <c r="F48" s="113"/>
      <c r="G48" s="113"/>
      <c r="H48" s="113"/>
      <c r="I48" s="113"/>
      <c r="J48" s="114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5"/>
      <c r="V48" s="80"/>
    </row>
    <row r="49" spans="1:29" ht="6.75" customHeight="1" x14ac:dyDescent="0.25">
      <c r="A49" s="79"/>
      <c r="B49" s="113"/>
      <c r="C49" s="113"/>
      <c r="D49" s="113"/>
      <c r="E49" s="113"/>
      <c r="F49" s="113"/>
      <c r="G49" s="113"/>
      <c r="H49" s="113"/>
      <c r="I49" s="113"/>
      <c r="J49" s="114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5"/>
      <c r="V49" s="80"/>
    </row>
    <row r="50" spans="1:29" x14ac:dyDescent="0.25">
      <c r="A50" s="79" t="s">
        <v>99</v>
      </c>
      <c r="B50" s="131" t="s">
        <v>69</v>
      </c>
      <c r="C50" s="132" t="s">
        <v>65</v>
      </c>
      <c r="D50" s="132" t="s">
        <v>70</v>
      </c>
      <c r="E50" s="132" t="s">
        <v>71</v>
      </c>
      <c r="F50" s="132">
        <v>0</v>
      </c>
      <c r="G50" s="132">
        <f>F50*J50</f>
        <v>0</v>
      </c>
      <c r="H50" s="132">
        <v>1.03</v>
      </c>
      <c r="I50" s="132">
        <f>H50*J50</f>
        <v>2.06</v>
      </c>
      <c r="J50" s="133">
        <v>2</v>
      </c>
      <c r="K50" s="132">
        <v>1320</v>
      </c>
      <c r="L50" s="132" t="s">
        <v>61</v>
      </c>
      <c r="M50" s="132">
        <v>630</v>
      </c>
      <c r="N50" s="132" t="s">
        <v>61</v>
      </c>
      <c r="O50" s="132">
        <v>250</v>
      </c>
      <c r="P50" s="132">
        <v>2</v>
      </c>
      <c r="Q50" s="132">
        <f>(K50* M50* O50*P50) / (1000*1000*1000)</f>
        <v>0.42</v>
      </c>
      <c r="R50" s="132" t="s">
        <v>62</v>
      </c>
      <c r="S50" s="132">
        <f>F50*P50</f>
        <v>0</v>
      </c>
      <c r="T50" s="132">
        <f>0*P50</f>
        <v>0</v>
      </c>
      <c r="U50" s="134">
        <v>127.28</v>
      </c>
      <c r="V50" s="81">
        <f>U50*J50</f>
        <v>254.56</v>
      </c>
      <c r="W50" s="82"/>
      <c r="X50" s="83"/>
      <c r="Y50" s="84"/>
      <c r="Z50" s="82"/>
      <c r="AA50" s="84"/>
      <c r="AB50" s="84"/>
      <c r="AC50" s="84"/>
    </row>
    <row r="51" spans="1:29" x14ac:dyDescent="0.25">
      <c r="A51" s="79"/>
      <c r="B51" s="113"/>
      <c r="C51" s="113"/>
      <c r="D51" s="113"/>
      <c r="E51" s="113"/>
      <c r="F51" s="113"/>
      <c r="G51" s="113"/>
      <c r="H51" s="113"/>
      <c r="I51" s="113"/>
      <c r="J51" s="114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5"/>
      <c r="V51" s="80"/>
    </row>
    <row r="52" spans="1:29" x14ac:dyDescent="0.25">
      <c r="A52" s="79" t="s">
        <v>100</v>
      </c>
      <c r="B52" s="131" t="s">
        <v>69</v>
      </c>
      <c r="C52" s="132" t="s">
        <v>65</v>
      </c>
      <c r="D52" s="132" t="s">
        <v>90</v>
      </c>
      <c r="E52" s="132" t="s">
        <v>91</v>
      </c>
      <c r="F52" s="132">
        <v>0</v>
      </c>
      <c r="G52" s="132">
        <f>F52*J52</f>
        <v>0</v>
      </c>
      <c r="H52" s="132">
        <v>1.29</v>
      </c>
      <c r="I52" s="132">
        <f>H52*J52</f>
        <v>6.45</v>
      </c>
      <c r="J52" s="133">
        <v>5</v>
      </c>
      <c r="K52" s="132">
        <v>1620</v>
      </c>
      <c r="L52" s="132" t="s">
        <v>61</v>
      </c>
      <c r="M52" s="132">
        <v>630</v>
      </c>
      <c r="N52" s="132" t="s">
        <v>61</v>
      </c>
      <c r="O52" s="132">
        <v>250</v>
      </c>
      <c r="P52" s="132">
        <v>5</v>
      </c>
      <c r="Q52" s="132">
        <f>(K52* M52* O52*P52) / (1000*1000*1000)</f>
        <v>1.28</v>
      </c>
      <c r="R52" s="132" t="s">
        <v>62</v>
      </c>
      <c r="S52" s="132">
        <f>F52*P52</f>
        <v>0</v>
      </c>
      <c r="T52" s="132">
        <f>0*P52</f>
        <v>0</v>
      </c>
      <c r="U52" s="134">
        <v>144.48000000000002</v>
      </c>
      <c r="V52" s="81">
        <f>U52*J52</f>
        <v>722.4</v>
      </c>
      <c r="W52" s="82"/>
      <c r="X52" s="83"/>
      <c r="Y52" s="84"/>
      <c r="Z52" s="82"/>
      <c r="AA52" s="84"/>
      <c r="AB52" s="84"/>
      <c r="AC52" s="84"/>
    </row>
    <row r="53" spans="1:29" x14ac:dyDescent="0.25">
      <c r="A53" s="79"/>
      <c r="B53" s="113"/>
      <c r="C53" s="113"/>
      <c r="D53" s="113"/>
      <c r="E53" s="113"/>
      <c r="F53" s="113"/>
      <c r="G53" s="113"/>
      <c r="H53" s="113"/>
      <c r="I53" s="113"/>
      <c r="J53" s="114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5"/>
      <c r="V53" s="80"/>
    </row>
    <row r="54" spans="1:29" ht="18.75" x14ac:dyDescent="0.3">
      <c r="A54" s="79"/>
      <c r="B54" s="135" t="s">
        <v>101</v>
      </c>
      <c r="C54" s="113"/>
      <c r="D54" s="113"/>
      <c r="E54" s="113"/>
      <c r="F54" s="113"/>
      <c r="G54" s="113"/>
      <c r="H54" s="113"/>
      <c r="I54" s="113"/>
      <c r="J54" s="114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5"/>
      <c r="V54" s="80"/>
    </row>
    <row r="55" spans="1:29" ht="8.25" customHeight="1" x14ac:dyDescent="0.25">
      <c r="A55" s="79"/>
      <c r="B55" s="113"/>
      <c r="C55" s="113"/>
      <c r="D55" s="113"/>
      <c r="E55" s="113"/>
      <c r="F55" s="113"/>
      <c r="G55" s="113"/>
      <c r="H55" s="113"/>
      <c r="I55" s="113"/>
      <c r="J55" s="114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5"/>
      <c r="V55" s="80"/>
    </row>
    <row r="56" spans="1:29" x14ac:dyDescent="0.25">
      <c r="A56" s="79" t="s">
        <v>102</v>
      </c>
      <c r="B56" s="131" t="s">
        <v>103</v>
      </c>
      <c r="C56" s="132" t="s">
        <v>65</v>
      </c>
      <c r="D56" s="132" t="s">
        <v>104</v>
      </c>
      <c r="E56" s="132" t="s">
        <v>105</v>
      </c>
      <c r="F56" s="132">
        <v>0</v>
      </c>
      <c r="G56" s="132">
        <f>F56*J56</f>
        <v>0</v>
      </c>
      <c r="H56" s="132">
        <v>0.36000000000000004</v>
      </c>
      <c r="I56" s="132">
        <f>H56*J56</f>
        <v>0.36</v>
      </c>
      <c r="J56" s="133">
        <v>1</v>
      </c>
      <c r="K56" s="132">
        <v>700</v>
      </c>
      <c r="L56" s="132" t="s">
        <v>61</v>
      </c>
      <c r="M56" s="132">
        <v>800</v>
      </c>
      <c r="N56" s="132" t="s">
        <v>61</v>
      </c>
      <c r="O56" s="132">
        <v>370</v>
      </c>
      <c r="P56" s="132">
        <v>1</v>
      </c>
      <c r="Q56" s="132">
        <f>(K56* M56* O56*P56) / (1000*1000*1000)</f>
        <v>0.21</v>
      </c>
      <c r="R56" s="132" t="s">
        <v>62</v>
      </c>
      <c r="S56" s="132">
        <f>F56*P56</f>
        <v>0</v>
      </c>
      <c r="T56" s="132">
        <f>0*P56</f>
        <v>0</v>
      </c>
      <c r="U56" s="134">
        <v>146.19999999999999</v>
      </c>
      <c r="V56" s="81">
        <f>U56*J56</f>
        <v>146.19999999999999</v>
      </c>
      <c r="W56" s="82"/>
      <c r="X56" s="83"/>
      <c r="Y56" s="84"/>
      <c r="Z56" s="82"/>
      <c r="AA56" s="84"/>
      <c r="AB56" s="84"/>
      <c r="AC56" s="84"/>
    </row>
    <row r="57" spans="1:29" x14ac:dyDescent="0.25">
      <c r="A57" s="79" t="s">
        <v>106</v>
      </c>
      <c r="B57" s="131" t="s">
        <v>107</v>
      </c>
      <c r="C57" s="132" t="s">
        <v>65</v>
      </c>
      <c r="D57" s="132" t="s">
        <v>108</v>
      </c>
      <c r="E57" s="132" t="s">
        <v>109</v>
      </c>
      <c r="F57" s="132"/>
      <c r="G57" s="132">
        <f>F57*J57</f>
        <v>0</v>
      </c>
      <c r="H57" s="132">
        <v>0.42000000000000004</v>
      </c>
      <c r="I57" s="132">
        <f>H57*J57</f>
        <v>0.42</v>
      </c>
      <c r="J57" s="133">
        <v>1</v>
      </c>
      <c r="K57" s="132"/>
      <c r="L57" s="132" t="s">
        <v>61</v>
      </c>
      <c r="M57" s="132"/>
      <c r="N57" s="132" t="s">
        <v>61</v>
      </c>
      <c r="O57" s="132"/>
      <c r="P57" s="132">
        <v>1</v>
      </c>
      <c r="Q57" s="132">
        <f>(K57* M57* O57*P57) / (1000*1000*1000)</f>
        <v>0</v>
      </c>
      <c r="R57" s="132" t="s">
        <v>62</v>
      </c>
      <c r="S57" s="132">
        <f>F57*P57</f>
        <v>0</v>
      </c>
      <c r="T57" s="132">
        <f>0*P57</f>
        <v>0</v>
      </c>
      <c r="U57" s="134">
        <v>178.02</v>
      </c>
      <c r="V57" s="81">
        <f>U57*J57</f>
        <v>178.02</v>
      </c>
      <c r="W57" s="82"/>
      <c r="X57" s="83"/>
      <c r="Y57" s="84"/>
      <c r="Z57" s="82"/>
      <c r="AA57" s="84"/>
      <c r="AB57" s="84"/>
      <c r="AC57" s="84"/>
    </row>
    <row r="58" spans="1:29" x14ac:dyDescent="0.25">
      <c r="A58" s="79" t="s">
        <v>110</v>
      </c>
      <c r="B58" s="131" t="s">
        <v>111</v>
      </c>
      <c r="C58" s="132" t="s">
        <v>65</v>
      </c>
      <c r="D58" s="132" t="s">
        <v>112</v>
      </c>
      <c r="E58" s="132" t="s">
        <v>113</v>
      </c>
      <c r="F58" s="132">
        <v>0</v>
      </c>
      <c r="G58" s="132">
        <f>F58*J58</f>
        <v>0</v>
      </c>
      <c r="H58" s="132">
        <v>0.95000000000000007</v>
      </c>
      <c r="I58" s="132">
        <f>H58*J58</f>
        <v>0.95</v>
      </c>
      <c r="J58" s="133">
        <v>1</v>
      </c>
      <c r="K58" s="132">
        <v>1700</v>
      </c>
      <c r="L58" s="132" t="s">
        <v>61</v>
      </c>
      <c r="M58" s="132">
        <v>800</v>
      </c>
      <c r="N58" s="132" t="s">
        <v>61</v>
      </c>
      <c r="O58" s="132">
        <v>300</v>
      </c>
      <c r="P58" s="132">
        <v>1</v>
      </c>
      <c r="Q58" s="132">
        <f>(K58* M58* O58*P58) / (1000*1000*1000)</f>
        <v>0.41</v>
      </c>
      <c r="R58" s="132" t="s">
        <v>62</v>
      </c>
      <c r="S58" s="132">
        <f>F58*P58</f>
        <v>0</v>
      </c>
      <c r="T58" s="132">
        <f>0*P58</f>
        <v>0</v>
      </c>
      <c r="U58" s="134">
        <v>161.25</v>
      </c>
      <c r="V58" s="81">
        <f>U58*J58</f>
        <v>161.25</v>
      </c>
      <c r="W58" s="82"/>
      <c r="X58" s="83"/>
      <c r="Y58" s="84"/>
      <c r="Z58" s="82"/>
      <c r="AA58" s="84"/>
      <c r="AB58" s="84"/>
      <c r="AC58" s="84"/>
    </row>
    <row r="59" spans="1:29" x14ac:dyDescent="0.25">
      <c r="A59" s="79" t="s">
        <v>114</v>
      </c>
      <c r="B59" s="131" t="s">
        <v>115</v>
      </c>
      <c r="C59" s="132" t="s">
        <v>65</v>
      </c>
      <c r="D59" s="132" t="s">
        <v>116</v>
      </c>
      <c r="E59" s="132" t="s">
        <v>117</v>
      </c>
      <c r="F59" s="132"/>
      <c r="G59" s="132">
        <f>F59*J59</f>
        <v>0</v>
      </c>
      <c r="H59" s="132">
        <v>1.07</v>
      </c>
      <c r="I59" s="132">
        <f>H59*J59</f>
        <v>1.07</v>
      </c>
      <c r="J59" s="133">
        <v>1</v>
      </c>
      <c r="K59" s="132"/>
      <c r="L59" s="132" t="s">
        <v>61</v>
      </c>
      <c r="M59" s="132"/>
      <c r="N59" s="132" t="s">
        <v>61</v>
      </c>
      <c r="O59" s="132"/>
      <c r="P59" s="132">
        <v>1</v>
      </c>
      <c r="Q59" s="132">
        <f>(K59* M59* O59*P59) / (1000*1000*1000)</f>
        <v>0</v>
      </c>
      <c r="R59" s="132" t="s">
        <v>62</v>
      </c>
      <c r="S59" s="132">
        <f>F59*P59</f>
        <v>0</v>
      </c>
      <c r="T59" s="132">
        <f>0*P59</f>
        <v>0</v>
      </c>
      <c r="U59" s="134">
        <v>255.39000000000001</v>
      </c>
      <c r="V59" s="81">
        <f>U59*J59</f>
        <v>255.39</v>
      </c>
      <c r="W59" s="82"/>
      <c r="X59" s="83"/>
      <c r="Y59" s="84"/>
      <c r="Z59" s="82"/>
      <c r="AA59" s="84"/>
      <c r="AB59" s="84"/>
      <c r="AC59" s="84"/>
    </row>
    <row r="60" spans="1:29" x14ac:dyDescent="0.25">
      <c r="A60" s="79" t="s">
        <v>118</v>
      </c>
      <c r="B60" s="131" t="s">
        <v>119</v>
      </c>
      <c r="C60" s="132" t="s">
        <v>65</v>
      </c>
      <c r="D60" s="132" t="s">
        <v>120</v>
      </c>
      <c r="E60" s="132" t="s">
        <v>121</v>
      </c>
      <c r="F60" s="132">
        <v>121</v>
      </c>
      <c r="G60" s="132">
        <f>F60*J60</f>
        <v>121</v>
      </c>
      <c r="H60" s="132">
        <v>0.78</v>
      </c>
      <c r="I60" s="132">
        <f>H60*J60</f>
        <v>0.78</v>
      </c>
      <c r="J60" s="133">
        <v>1</v>
      </c>
      <c r="K60" s="132">
        <v>891</v>
      </c>
      <c r="L60" s="132" t="s">
        <v>61</v>
      </c>
      <c r="M60" s="132">
        <v>1215</v>
      </c>
      <c r="N60" s="132" t="s">
        <v>61</v>
      </c>
      <c r="O60" s="132">
        <v>1032</v>
      </c>
      <c r="P60" s="132">
        <v>1</v>
      </c>
      <c r="Q60" s="132">
        <f>(K60* M60* O60*P60) / (1000*1000*1000)</f>
        <v>1.1200000000000001</v>
      </c>
      <c r="R60" s="132" t="s">
        <v>62</v>
      </c>
      <c r="S60" s="132">
        <f>F60*P60</f>
        <v>121</v>
      </c>
      <c r="T60" s="132">
        <f>131*P60</f>
        <v>131</v>
      </c>
      <c r="U60" s="134"/>
      <c r="V60" s="81"/>
      <c r="W60" s="82"/>
      <c r="X60" s="83"/>
      <c r="Y60" s="84"/>
      <c r="Z60" s="82"/>
      <c r="AA60" s="84"/>
      <c r="AB60" s="84"/>
      <c r="AC60" s="84"/>
    </row>
    <row r="61" spans="1:29" x14ac:dyDescent="0.25">
      <c r="A61" s="79" t="s">
        <v>122</v>
      </c>
      <c r="B61" s="131" t="s">
        <v>123</v>
      </c>
      <c r="C61" s="132" t="s">
        <v>65</v>
      </c>
      <c r="D61" s="132" t="s">
        <v>124</v>
      </c>
      <c r="E61" s="132" t="s">
        <v>125</v>
      </c>
      <c r="F61" s="132">
        <v>9</v>
      </c>
      <c r="G61" s="132">
        <f>F61*J61</f>
        <v>9</v>
      </c>
      <c r="H61" s="132">
        <v>0.04</v>
      </c>
      <c r="I61" s="132">
        <f>H61*J61</f>
        <v>0.04</v>
      </c>
      <c r="J61" s="133">
        <v>1</v>
      </c>
      <c r="K61" s="132">
        <v>652</v>
      </c>
      <c r="L61" s="132" t="s">
        <v>61</v>
      </c>
      <c r="M61" s="132">
        <v>231</v>
      </c>
      <c r="N61" s="132" t="s">
        <v>61</v>
      </c>
      <c r="O61" s="132">
        <v>720</v>
      </c>
      <c r="P61" s="132">
        <v>1</v>
      </c>
      <c r="Q61" s="132">
        <f>(K61* M61* O61*P61) / (1000*1000*1000)</f>
        <v>0.11</v>
      </c>
      <c r="R61" s="132" t="s">
        <v>62</v>
      </c>
      <c r="S61" s="132">
        <f>F61*P61</f>
        <v>9</v>
      </c>
      <c r="T61" s="132">
        <f>14*P61</f>
        <v>14</v>
      </c>
      <c r="U61" s="134">
        <v>73.099999999999994</v>
      </c>
      <c r="V61" s="81">
        <f>U61*J61</f>
        <v>73.099999999999994</v>
      </c>
      <c r="W61" s="82"/>
      <c r="X61" s="83"/>
      <c r="Y61" s="84"/>
      <c r="Z61" s="82"/>
      <c r="AA61" s="84"/>
      <c r="AB61" s="84"/>
      <c r="AC61" s="84"/>
    </row>
    <row r="62" spans="1:29" ht="18.75" x14ac:dyDescent="0.3">
      <c r="A62" s="79"/>
      <c r="B62" s="135" t="s">
        <v>126</v>
      </c>
      <c r="C62" s="113"/>
      <c r="D62" s="113"/>
      <c r="E62" s="113"/>
      <c r="F62" s="113"/>
      <c r="G62" s="113"/>
      <c r="H62" s="113"/>
      <c r="I62" s="113"/>
      <c r="J62" s="114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5"/>
      <c r="V62" s="80"/>
    </row>
    <row r="63" spans="1:29" ht="6.75" customHeight="1" x14ac:dyDescent="0.25">
      <c r="A63" s="79"/>
      <c r="B63" s="113"/>
      <c r="C63" s="113"/>
      <c r="D63" s="113"/>
      <c r="E63" s="113"/>
      <c r="F63" s="113"/>
      <c r="G63" s="113"/>
      <c r="H63" s="113"/>
      <c r="I63" s="113"/>
      <c r="J63" s="114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5"/>
      <c r="V63" s="80"/>
    </row>
    <row r="64" spans="1:29" x14ac:dyDescent="0.25">
      <c r="A64" s="79" t="s">
        <v>127</v>
      </c>
      <c r="B64" s="131" t="s">
        <v>111</v>
      </c>
      <c r="C64" s="132" t="s">
        <v>65</v>
      </c>
      <c r="D64" s="132" t="s">
        <v>128</v>
      </c>
      <c r="E64" s="132" t="s">
        <v>129</v>
      </c>
      <c r="F64" s="132">
        <v>0</v>
      </c>
      <c r="G64" s="132">
        <f>F64*J64</f>
        <v>0</v>
      </c>
      <c r="H64" s="132">
        <v>0.71000000000000008</v>
      </c>
      <c r="I64" s="132">
        <f>H64*J64</f>
        <v>1.42</v>
      </c>
      <c r="J64" s="133">
        <v>2</v>
      </c>
      <c r="K64" s="132">
        <v>1300</v>
      </c>
      <c r="L64" s="132" t="s">
        <v>61</v>
      </c>
      <c r="M64" s="132">
        <v>800</v>
      </c>
      <c r="N64" s="132" t="s">
        <v>61</v>
      </c>
      <c r="O64" s="132">
        <v>300</v>
      </c>
      <c r="P64" s="132">
        <v>2</v>
      </c>
      <c r="Q64" s="132">
        <f>(K64* M64* O64*P64) / (1000*1000*1000)</f>
        <v>0.62</v>
      </c>
      <c r="R64" s="132" t="s">
        <v>62</v>
      </c>
      <c r="S64" s="132">
        <f>F64*P64</f>
        <v>0</v>
      </c>
      <c r="T64" s="132">
        <f>0*P64</f>
        <v>0</v>
      </c>
      <c r="U64" s="134">
        <v>129</v>
      </c>
      <c r="V64" s="81">
        <f>U64*J64</f>
        <v>258</v>
      </c>
      <c r="W64" s="82"/>
      <c r="X64" s="83"/>
      <c r="Y64" s="84"/>
      <c r="Z64" s="82"/>
      <c r="AA64" s="84"/>
      <c r="AB64" s="84"/>
      <c r="AC64" s="84"/>
    </row>
    <row r="65" spans="1:29" x14ac:dyDescent="0.25">
      <c r="A65" s="79" t="s">
        <v>130</v>
      </c>
      <c r="B65" s="131" t="s">
        <v>131</v>
      </c>
      <c r="C65" s="132" t="s">
        <v>65</v>
      </c>
      <c r="D65" s="132" t="s">
        <v>132</v>
      </c>
      <c r="E65" s="132" t="s">
        <v>133</v>
      </c>
      <c r="F65" s="132">
        <v>0</v>
      </c>
      <c r="G65" s="132">
        <f>F65*J65</f>
        <v>0</v>
      </c>
      <c r="H65" s="132">
        <v>0.83000000000000007</v>
      </c>
      <c r="I65" s="132">
        <f>H65*J65</f>
        <v>0.83</v>
      </c>
      <c r="J65" s="133">
        <v>1</v>
      </c>
      <c r="K65" s="132">
        <v>1500</v>
      </c>
      <c r="L65" s="132" t="s">
        <v>61</v>
      </c>
      <c r="M65" s="132">
        <v>800</v>
      </c>
      <c r="N65" s="132" t="s">
        <v>61</v>
      </c>
      <c r="O65" s="132">
        <v>370</v>
      </c>
      <c r="P65" s="132">
        <v>1</v>
      </c>
      <c r="Q65" s="132">
        <f>(K65* M65* O65*P65) / (1000*1000*1000)</f>
        <v>0.44</v>
      </c>
      <c r="R65" s="132" t="s">
        <v>62</v>
      </c>
      <c r="S65" s="132">
        <f>F65*P65</f>
        <v>0</v>
      </c>
      <c r="T65" s="132">
        <f>0*P65</f>
        <v>0</v>
      </c>
      <c r="U65" s="134">
        <v>268.75</v>
      </c>
      <c r="V65" s="81">
        <f>U65*J65</f>
        <v>268.75</v>
      </c>
      <c r="W65" s="82"/>
      <c r="X65" s="83"/>
      <c r="Y65" s="84"/>
      <c r="Z65" s="82"/>
      <c r="AA65" s="84"/>
      <c r="AB65" s="84"/>
      <c r="AC65" s="84"/>
    </row>
    <row r="66" spans="1:29" x14ac:dyDescent="0.25">
      <c r="A66" s="79" t="s">
        <v>134</v>
      </c>
      <c r="B66" s="131" t="s">
        <v>135</v>
      </c>
      <c r="C66" s="132" t="s">
        <v>65</v>
      </c>
      <c r="D66" s="132" t="s">
        <v>136</v>
      </c>
      <c r="E66" s="132" t="s">
        <v>113</v>
      </c>
      <c r="F66" s="132"/>
      <c r="G66" s="132">
        <f>F66*J66</f>
        <v>0</v>
      </c>
      <c r="H66" s="132">
        <v>0.95000000000000007</v>
      </c>
      <c r="I66" s="132">
        <f>H66*J66</f>
        <v>0.95</v>
      </c>
      <c r="J66" s="133">
        <v>1</v>
      </c>
      <c r="K66" s="132"/>
      <c r="L66" s="132" t="s">
        <v>61</v>
      </c>
      <c r="M66" s="132"/>
      <c r="N66" s="132" t="s">
        <v>61</v>
      </c>
      <c r="O66" s="132"/>
      <c r="P66" s="132">
        <v>1</v>
      </c>
      <c r="Q66" s="132">
        <f>(K66* M66* O66*P66) / (1000*1000*1000)</f>
        <v>0</v>
      </c>
      <c r="R66" s="132" t="s">
        <v>62</v>
      </c>
      <c r="S66" s="132">
        <f>F66*P66</f>
        <v>0</v>
      </c>
      <c r="T66" s="132">
        <f>0*P66</f>
        <v>0</v>
      </c>
      <c r="U66" s="134">
        <v>341.85</v>
      </c>
      <c r="V66" s="81">
        <f>U66*J66</f>
        <v>341.85</v>
      </c>
      <c r="W66" s="82"/>
      <c r="X66" s="83"/>
      <c r="Y66" s="84"/>
      <c r="Z66" s="82"/>
      <c r="AA66" s="84"/>
      <c r="AB66" s="84"/>
      <c r="AC66" s="84"/>
    </row>
    <row r="67" spans="1:29" x14ac:dyDescent="0.25">
      <c r="A67" s="79" t="s">
        <v>137</v>
      </c>
      <c r="B67" s="131" t="s">
        <v>138</v>
      </c>
      <c r="C67" s="132" t="s">
        <v>65</v>
      </c>
      <c r="D67" s="132" t="s">
        <v>139</v>
      </c>
      <c r="E67" s="132" t="s">
        <v>140</v>
      </c>
      <c r="F67" s="132">
        <v>29</v>
      </c>
      <c r="G67" s="132">
        <f>F67*J67</f>
        <v>29</v>
      </c>
      <c r="H67" s="132">
        <v>0.08</v>
      </c>
      <c r="I67" s="132">
        <f>H67*J67</f>
        <v>0.08</v>
      </c>
      <c r="J67" s="133">
        <v>1</v>
      </c>
      <c r="K67" s="132">
        <v>535</v>
      </c>
      <c r="L67" s="132" t="s">
        <v>61</v>
      </c>
      <c r="M67" s="132">
        <v>400</v>
      </c>
      <c r="N67" s="132" t="s">
        <v>61</v>
      </c>
      <c r="O67" s="132">
        <v>800</v>
      </c>
      <c r="P67" s="132">
        <v>1</v>
      </c>
      <c r="Q67" s="132">
        <f>(K67* M67* O67*P67) / (1000*1000*1000)</f>
        <v>0.17</v>
      </c>
      <c r="R67" s="132" t="s">
        <v>62</v>
      </c>
      <c r="S67" s="132">
        <f>F67*P67</f>
        <v>29</v>
      </c>
      <c r="T67" s="132">
        <f>34*P67</f>
        <v>34</v>
      </c>
      <c r="U67" s="134">
        <v>430</v>
      </c>
      <c r="V67" s="81">
        <f>U67*J67</f>
        <v>430</v>
      </c>
      <c r="W67" s="82"/>
      <c r="X67" s="83"/>
      <c r="Y67" s="84"/>
      <c r="Z67" s="82"/>
      <c r="AA67" s="84"/>
      <c r="AB67" s="84"/>
      <c r="AC67" s="84"/>
    </row>
    <row r="68" spans="1:29" x14ac:dyDescent="0.25">
      <c r="A68" s="79" t="s">
        <v>141</v>
      </c>
      <c r="B68" s="131" t="s">
        <v>142</v>
      </c>
      <c r="C68" s="132" t="s">
        <v>65</v>
      </c>
      <c r="D68" s="132" t="s">
        <v>143</v>
      </c>
      <c r="E68" s="132" t="s">
        <v>117</v>
      </c>
      <c r="F68" s="132"/>
      <c r="G68" s="132">
        <f>F68*J68</f>
        <v>0</v>
      </c>
      <c r="H68" s="132">
        <v>1.07</v>
      </c>
      <c r="I68" s="132">
        <f>H68*J68</f>
        <v>1.07</v>
      </c>
      <c r="J68" s="133">
        <v>1</v>
      </c>
      <c r="K68" s="132"/>
      <c r="L68" s="132" t="s">
        <v>61</v>
      </c>
      <c r="M68" s="132"/>
      <c r="N68" s="132" t="s">
        <v>61</v>
      </c>
      <c r="O68" s="132"/>
      <c r="P68" s="132">
        <v>1</v>
      </c>
      <c r="Q68" s="132">
        <f>(K68* M68* O68*P68) / (1000*1000*1000)</f>
        <v>0</v>
      </c>
      <c r="R68" s="132" t="s">
        <v>62</v>
      </c>
      <c r="S68" s="132">
        <f>F68*P68</f>
        <v>0</v>
      </c>
      <c r="T68" s="132">
        <f>0*P68</f>
        <v>0</v>
      </c>
      <c r="U68" s="134">
        <v>451.53</v>
      </c>
      <c r="V68" s="81">
        <f>U68*J68</f>
        <v>451.53</v>
      </c>
      <c r="W68" s="82"/>
      <c r="X68" s="83"/>
      <c r="Y68" s="84"/>
      <c r="Z68" s="82"/>
      <c r="AA68" s="84"/>
      <c r="AB68" s="84"/>
      <c r="AC68" s="84"/>
    </row>
    <row r="69" spans="1:29" x14ac:dyDescent="0.25">
      <c r="A69" s="79" t="s">
        <v>144</v>
      </c>
      <c r="B69" s="131" t="s">
        <v>111</v>
      </c>
      <c r="C69" s="132" t="s">
        <v>65</v>
      </c>
      <c r="D69" s="132" t="s">
        <v>145</v>
      </c>
      <c r="E69" s="132" t="s">
        <v>117</v>
      </c>
      <c r="F69" s="132">
        <v>0</v>
      </c>
      <c r="G69" s="132">
        <f>F69*J69</f>
        <v>0</v>
      </c>
      <c r="H69" s="132">
        <v>1.07</v>
      </c>
      <c r="I69" s="132">
        <f>H69*J69</f>
        <v>1.07</v>
      </c>
      <c r="J69" s="133">
        <v>1</v>
      </c>
      <c r="K69" s="132">
        <v>1900</v>
      </c>
      <c r="L69" s="132" t="s">
        <v>61</v>
      </c>
      <c r="M69" s="132">
        <v>800</v>
      </c>
      <c r="N69" s="132" t="s">
        <v>61</v>
      </c>
      <c r="O69" s="132">
        <v>300</v>
      </c>
      <c r="P69" s="132">
        <v>1</v>
      </c>
      <c r="Q69" s="132">
        <f>(K69* M69* O69*P69) / (1000*1000*1000)</f>
        <v>0.46</v>
      </c>
      <c r="R69" s="132" t="s">
        <v>62</v>
      </c>
      <c r="S69" s="132">
        <f>F69*P69</f>
        <v>0</v>
      </c>
      <c r="T69" s="132">
        <f>0*P69</f>
        <v>0</v>
      </c>
      <c r="U69" s="134">
        <v>176.3</v>
      </c>
      <c r="V69" s="81">
        <f>U69*J69</f>
        <v>176.3</v>
      </c>
      <c r="W69" s="82"/>
      <c r="X69" s="83"/>
      <c r="Y69" s="84"/>
      <c r="Z69" s="82"/>
      <c r="AA69" s="84"/>
      <c r="AB69" s="84"/>
      <c r="AC69" s="84"/>
    </row>
    <row r="70" spans="1:29" ht="15.75" thickBot="1" x14ac:dyDescent="0.3">
      <c r="A70" s="136" t="s">
        <v>146</v>
      </c>
      <c r="B70" s="147" t="s">
        <v>123</v>
      </c>
      <c r="C70" s="148" t="s">
        <v>65</v>
      </c>
      <c r="D70" s="148" t="s">
        <v>124</v>
      </c>
      <c r="E70" s="148" t="s">
        <v>125</v>
      </c>
      <c r="F70" s="148">
        <v>9</v>
      </c>
      <c r="G70" s="148">
        <f>F70*J70</f>
        <v>9</v>
      </c>
      <c r="H70" s="148">
        <v>0.04</v>
      </c>
      <c r="I70" s="148">
        <f>H70*J70</f>
        <v>0.04</v>
      </c>
      <c r="J70" s="149">
        <v>1</v>
      </c>
      <c r="K70" s="148">
        <v>652</v>
      </c>
      <c r="L70" s="148" t="s">
        <v>61</v>
      </c>
      <c r="M70" s="148">
        <v>231</v>
      </c>
      <c r="N70" s="148" t="s">
        <v>61</v>
      </c>
      <c r="O70" s="148">
        <v>720</v>
      </c>
      <c r="P70" s="148">
        <v>1</v>
      </c>
      <c r="Q70" s="148">
        <f>(K70* M70* O70*P70) / (1000*1000*1000)</f>
        <v>0.11</v>
      </c>
      <c r="R70" s="148" t="s">
        <v>62</v>
      </c>
      <c r="S70" s="148">
        <f>F70*P70</f>
        <v>9</v>
      </c>
      <c r="T70" s="148">
        <f>14*P70</f>
        <v>14</v>
      </c>
      <c r="U70" s="150">
        <v>73.099999999999994</v>
      </c>
      <c r="V70" s="151">
        <f>U70*J70</f>
        <v>73.099999999999994</v>
      </c>
      <c r="W70" s="82"/>
      <c r="X70" s="83"/>
      <c r="Y70" s="84"/>
      <c r="Z70" s="82"/>
      <c r="AA70" s="84"/>
      <c r="AB70" s="84"/>
      <c r="AC70" s="84"/>
    </row>
    <row r="71" spans="1:29" x14ac:dyDescent="0.25">
      <c r="A71" s="141"/>
      <c r="B71" s="143"/>
      <c r="C71" s="143"/>
      <c r="D71" s="143"/>
      <c r="E71" s="143"/>
      <c r="F71" s="143"/>
      <c r="G71" s="143"/>
      <c r="H71" s="143"/>
      <c r="I71" s="143"/>
      <c r="J71" s="144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5"/>
      <c r="V71" s="146"/>
    </row>
    <row r="72" spans="1:29" ht="18.75" x14ac:dyDescent="0.3">
      <c r="A72" s="79"/>
      <c r="B72" s="135" t="s">
        <v>147</v>
      </c>
      <c r="C72" s="113"/>
      <c r="D72" s="113"/>
      <c r="E72" s="113"/>
      <c r="F72" s="113"/>
      <c r="G72" s="113"/>
      <c r="H72" s="113"/>
      <c r="I72" s="113"/>
      <c r="J72" s="114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5"/>
      <c r="V72" s="80"/>
    </row>
    <row r="73" spans="1:29" x14ac:dyDescent="0.25">
      <c r="A73" s="79"/>
      <c r="B73" s="113"/>
      <c r="C73" s="113"/>
      <c r="D73" s="113"/>
      <c r="E73" s="113"/>
      <c r="F73" s="113"/>
      <c r="G73" s="113"/>
      <c r="H73" s="113"/>
      <c r="I73" s="113"/>
      <c r="J73" s="114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5"/>
      <c r="V73" s="80"/>
    </row>
    <row r="74" spans="1:29" x14ac:dyDescent="0.25">
      <c r="A74" s="79" t="s">
        <v>148</v>
      </c>
      <c r="B74" s="131" t="s">
        <v>111</v>
      </c>
      <c r="C74" s="132" t="s">
        <v>65</v>
      </c>
      <c r="D74" s="132" t="s">
        <v>112</v>
      </c>
      <c r="E74" s="132" t="s">
        <v>113</v>
      </c>
      <c r="F74" s="132">
        <v>0</v>
      </c>
      <c r="G74" s="132">
        <f>F74*J74</f>
        <v>0</v>
      </c>
      <c r="H74" s="132">
        <v>0.95000000000000007</v>
      </c>
      <c r="I74" s="132">
        <f>H74*J74</f>
        <v>1.9</v>
      </c>
      <c r="J74" s="133">
        <v>2</v>
      </c>
      <c r="K74" s="132">
        <v>1700</v>
      </c>
      <c r="L74" s="132" t="s">
        <v>61</v>
      </c>
      <c r="M74" s="132">
        <v>800</v>
      </c>
      <c r="N74" s="132" t="s">
        <v>61</v>
      </c>
      <c r="O74" s="132">
        <v>300</v>
      </c>
      <c r="P74" s="132">
        <v>2</v>
      </c>
      <c r="Q74" s="132">
        <f>(K74* M74* O74*P74) / (1000*1000*1000)</f>
        <v>0.82</v>
      </c>
      <c r="R74" s="132" t="s">
        <v>62</v>
      </c>
      <c r="S74" s="132">
        <f>F74*P74</f>
        <v>0</v>
      </c>
      <c r="T74" s="132">
        <f>0*P74</f>
        <v>0</v>
      </c>
      <c r="U74" s="134">
        <v>161.25</v>
      </c>
      <c r="V74" s="81">
        <f>U74*J74</f>
        <v>322.5</v>
      </c>
      <c r="W74" s="82"/>
      <c r="X74" s="83"/>
      <c r="Y74" s="84"/>
      <c r="Z74" s="82"/>
      <c r="AA74" s="84"/>
      <c r="AB74" s="84"/>
      <c r="AC74" s="84"/>
    </row>
    <row r="75" spans="1:29" x14ac:dyDescent="0.25">
      <c r="A75" s="79" t="s">
        <v>149</v>
      </c>
      <c r="B75" s="131" t="s">
        <v>150</v>
      </c>
      <c r="C75" s="132" t="s">
        <v>65</v>
      </c>
      <c r="D75" s="132" t="s">
        <v>151</v>
      </c>
      <c r="E75" s="132" t="s">
        <v>133</v>
      </c>
      <c r="F75" s="132"/>
      <c r="G75" s="132">
        <f>F75*J75</f>
        <v>0</v>
      </c>
      <c r="H75" s="132">
        <v>0.83000000000000007</v>
      </c>
      <c r="I75" s="132">
        <f>H75*J75</f>
        <v>0.83</v>
      </c>
      <c r="J75" s="133">
        <v>1</v>
      </c>
      <c r="K75" s="132"/>
      <c r="L75" s="132" t="s">
        <v>61</v>
      </c>
      <c r="M75" s="132"/>
      <c r="N75" s="132" t="s">
        <v>61</v>
      </c>
      <c r="O75" s="132"/>
      <c r="P75" s="132">
        <v>1</v>
      </c>
      <c r="Q75" s="132">
        <f>(K75* M75* O75*P75) / (1000*1000*1000)</f>
        <v>0</v>
      </c>
      <c r="R75" s="132" t="s">
        <v>62</v>
      </c>
      <c r="S75" s="132">
        <f>F75*P75</f>
        <v>0</v>
      </c>
      <c r="T75" s="132">
        <f>0*P75</f>
        <v>0</v>
      </c>
      <c r="U75" s="134">
        <v>296.7</v>
      </c>
      <c r="V75" s="81">
        <f>U75*J75</f>
        <v>296.7</v>
      </c>
      <c r="W75" s="82"/>
      <c r="X75" s="83"/>
      <c r="Y75" s="84"/>
      <c r="Z75" s="82"/>
      <c r="AA75" s="84"/>
      <c r="AB75" s="84"/>
      <c r="AC75" s="84"/>
    </row>
    <row r="76" spans="1:29" x14ac:dyDescent="0.25">
      <c r="A76" s="79" t="s">
        <v>152</v>
      </c>
      <c r="B76" s="131" t="s">
        <v>73</v>
      </c>
      <c r="C76" s="132" t="s">
        <v>58</v>
      </c>
      <c r="D76" s="132" t="s">
        <v>74</v>
      </c>
      <c r="E76" s="132" t="s">
        <v>75</v>
      </c>
      <c r="F76" s="132"/>
      <c r="G76" s="132">
        <f>F76*J76</f>
        <v>0</v>
      </c>
      <c r="H76" s="132"/>
      <c r="I76" s="132">
        <f>H76*J76</f>
        <v>0</v>
      </c>
      <c r="J76" s="133">
        <v>1</v>
      </c>
      <c r="K76" s="132"/>
      <c r="L76" s="132" t="s">
        <v>61</v>
      </c>
      <c r="M76" s="132"/>
      <c r="N76" s="132" t="s">
        <v>61</v>
      </c>
      <c r="O76" s="132"/>
      <c r="P76" s="132">
        <v>1</v>
      </c>
      <c r="Q76" s="132">
        <f>(K76* M76* O76*P76) / (1000*1000*1000)</f>
        <v>0</v>
      </c>
      <c r="R76" s="132" t="s">
        <v>62</v>
      </c>
      <c r="S76" s="132">
        <f>F76*P76</f>
        <v>0</v>
      </c>
      <c r="T76" s="132">
        <f>0*P76</f>
        <v>0</v>
      </c>
      <c r="U76" s="134">
        <v>21.54</v>
      </c>
      <c r="V76" s="81">
        <f>U76*J76</f>
        <v>21.54</v>
      </c>
      <c r="W76" s="82"/>
      <c r="X76" s="83"/>
      <c r="Y76" s="84"/>
      <c r="Z76" s="82"/>
      <c r="AA76" s="84"/>
      <c r="AB76" s="84"/>
      <c r="AC76" s="84"/>
    </row>
    <row r="77" spans="1:29" ht="18.75" x14ac:dyDescent="0.3">
      <c r="A77" s="79"/>
      <c r="B77" s="135" t="s">
        <v>153</v>
      </c>
      <c r="C77" s="113"/>
      <c r="D77" s="113"/>
      <c r="E77" s="113"/>
      <c r="F77" s="113"/>
      <c r="G77" s="113"/>
      <c r="H77" s="113"/>
      <c r="I77" s="113"/>
      <c r="J77" s="114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5"/>
      <c r="V77" s="80"/>
    </row>
    <row r="78" spans="1:29" x14ac:dyDescent="0.25">
      <c r="A78" s="79"/>
      <c r="B78" s="113"/>
      <c r="C78" s="113"/>
      <c r="D78" s="113"/>
      <c r="E78" s="113"/>
      <c r="F78" s="113"/>
      <c r="G78" s="113"/>
      <c r="H78" s="113"/>
      <c r="I78" s="113"/>
      <c r="J78" s="114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5"/>
      <c r="V78" s="80"/>
    </row>
    <row r="79" spans="1:29" x14ac:dyDescent="0.25">
      <c r="A79" s="79" t="s">
        <v>154</v>
      </c>
      <c r="B79" s="131" t="s">
        <v>155</v>
      </c>
      <c r="C79" s="132" t="s">
        <v>65</v>
      </c>
      <c r="D79" s="132" t="s">
        <v>156</v>
      </c>
      <c r="E79" s="132" t="s">
        <v>157</v>
      </c>
      <c r="F79" s="132">
        <v>60</v>
      </c>
      <c r="G79" s="132">
        <f>F79*J79</f>
        <v>600</v>
      </c>
      <c r="H79" s="132">
        <v>0.24000000000000002</v>
      </c>
      <c r="I79" s="132">
        <f>H79*J79</f>
        <v>2.4</v>
      </c>
      <c r="J79" s="133">
        <v>10</v>
      </c>
      <c r="K79" s="132">
        <v>700</v>
      </c>
      <c r="L79" s="132" t="s">
        <v>61</v>
      </c>
      <c r="M79" s="132">
        <v>900</v>
      </c>
      <c r="N79" s="132" t="s">
        <v>61</v>
      </c>
      <c r="O79" s="132">
        <v>650</v>
      </c>
      <c r="P79" s="132">
        <v>10</v>
      </c>
      <c r="Q79" s="132">
        <f>(K79* M79* O79*P79) / (1000*1000*1000)</f>
        <v>4.0999999999999996</v>
      </c>
      <c r="R79" s="132" t="s">
        <v>62</v>
      </c>
      <c r="S79" s="132">
        <f>F79*P79</f>
        <v>600</v>
      </c>
      <c r="T79" s="132">
        <f>70*P79</f>
        <v>700</v>
      </c>
      <c r="U79" s="134"/>
      <c r="V79" s="81"/>
      <c r="W79" s="82"/>
      <c r="X79" s="83"/>
      <c r="Y79" s="84"/>
      <c r="Z79" s="82"/>
      <c r="AA79" s="84"/>
      <c r="AB79" s="84"/>
      <c r="AC79" s="84"/>
    </row>
    <row r="80" spans="1:29" x14ac:dyDescent="0.25">
      <c r="A80" s="79" t="s">
        <v>158</v>
      </c>
      <c r="B80" s="131" t="s">
        <v>159</v>
      </c>
      <c r="C80" s="132" t="s">
        <v>65</v>
      </c>
      <c r="D80" s="132" t="s">
        <v>160</v>
      </c>
      <c r="E80" s="132" t="s">
        <v>161</v>
      </c>
      <c r="F80" s="132"/>
      <c r="G80" s="132">
        <f>F80*J80</f>
        <v>0</v>
      </c>
      <c r="H80" s="132">
        <v>3.75</v>
      </c>
      <c r="I80" s="132">
        <f>H80*J80</f>
        <v>7.5</v>
      </c>
      <c r="J80" s="133">
        <v>2</v>
      </c>
      <c r="K80" s="132"/>
      <c r="L80" s="132" t="s">
        <v>61</v>
      </c>
      <c r="M80" s="132"/>
      <c r="N80" s="132" t="s">
        <v>61</v>
      </c>
      <c r="O80" s="132"/>
      <c r="P80" s="132">
        <v>2</v>
      </c>
      <c r="Q80" s="132">
        <f>(K80* M80* O80*P80) / (1000*1000*1000)</f>
        <v>0</v>
      </c>
      <c r="R80" s="132" t="s">
        <v>62</v>
      </c>
      <c r="S80" s="132">
        <f>F80*P80</f>
        <v>0</v>
      </c>
      <c r="T80" s="132">
        <f>0*P80</f>
        <v>0</v>
      </c>
      <c r="U80" s="134">
        <v>904.29000000000008</v>
      </c>
      <c r="V80" s="81">
        <f>U80*J80</f>
        <v>1808.58</v>
      </c>
      <c r="W80" s="82"/>
      <c r="X80" s="83"/>
      <c r="Y80" s="84"/>
      <c r="Z80" s="82"/>
      <c r="AA80" s="84"/>
      <c r="AB80" s="84"/>
      <c r="AC80" s="84"/>
    </row>
    <row r="81" spans="1:29" x14ac:dyDescent="0.25">
      <c r="A81" s="79" t="s">
        <v>162</v>
      </c>
      <c r="B81" s="131" t="s">
        <v>163</v>
      </c>
      <c r="C81" s="132" t="s">
        <v>65</v>
      </c>
      <c r="D81" s="132" t="s">
        <v>164</v>
      </c>
      <c r="E81" s="132" t="s">
        <v>165</v>
      </c>
      <c r="F81" s="132"/>
      <c r="G81" s="132">
        <f>F81*J81</f>
        <v>0</v>
      </c>
      <c r="H81" s="132">
        <v>2.63</v>
      </c>
      <c r="I81" s="132">
        <f>H81*J81</f>
        <v>2.63</v>
      </c>
      <c r="J81" s="133">
        <v>1</v>
      </c>
      <c r="K81" s="132"/>
      <c r="L81" s="132" t="s">
        <v>61</v>
      </c>
      <c r="M81" s="132"/>
      <c r="N81" s="132" t="s">
        <v>61</v>
      </c>
      <c r="O81" s="132"/>
      <c r="P81" s="132">
        <v>1</v>
      </c>
      <c r="Q81" s="132">
        <f>(K81* M81* O81*P81) / (1000*1000*1000)</f>
        <v>0</v>
      </c>
      <c r="R81" s="132" t="s">
        <v>62</v>
      </c>
      <c r="S81" s="132">
        <f>F81*P81</f>
        <v>0</v>
      </c>
      <c r="T81" s="132">
        <f>0*P81</f>
        <v>0</v>
      </c>
      <c r="U81" s="134">
        <v>668.22</v>
      </c>
      <c r="V81" s="81">
        <f>U81*J81</f>
        <v>668.22</v>
      </c>
      <c r="W81" s="82"/>
      <c r="X81" s="83"/>
      <c r="Y81" s="84"/>
      <c r="Z81" s="82"/>
      <c r="AA81" s="84"/>
      <c r="AB81" s="84"/>
      <c r="AC81" s="84"/>
    </row>
    <row r="82" spans="1:29" x14ac:dyDescent="0.25">
      <c r="A82" s="79" t="s">
        <v>166</v>
      </c>
      <c r="B82" s="131" t="s">
        <v>167</v>
      </c>
      <c r="C82" s="132" t="s">
        <v>65</v>
      </c>
      <c r="D82" s="132" t="s">
        <v>168</v>
      </c>
      <c r="E82" s="132" t="s">
        <v>117</v>
      </c>
      <c r="F82" s="132">
        <v>0</v>
      </c>
      <c r="G82" s="132">
        <f>F82*J82</f>
        <v>0</v>
      </c>
      <c r="H82" s="132">
        <v>1.07</v>
      </c>
      <c r="I82" s="132">
        <f>H82*J82</f>
        <v>1.07</v>
      </c>
      <c r="J82" s="133">
        <v>1</v>
      </c>
      <c r="K82" s="132">
        <v>1900</v>
      </c>
      <c r="L82" s="132" t="s">
        <v>61</v>
      </c>
      <c r="M82" s="132">
        <v>800</v>
      </c>
      <c r="N82" s="132" t="s">
        <v>61</v>
      </c>
      <c r="O82" s="132">
        <v>300</v>
      </c>
      <c r="P82" s="132">
        <v>1</v>
      </c>
      <c r="Q82" s="132">
        <f>(K82* M82* O82*P82) / (1000*1000*1000)</f>
        <v>0.46</v>
      </c>
      <c r="R82" s="132" t="s">
        <v>62</v>
      </c>
      <c r="S82" s="132">
        <f>F82*P82</f>
        <v>0</v>
      </c>
      <c r="T82" s="132">
        <f>0*P82</f>
        <v>0</v>
      </c>
      <c r="U82" s="134">
        <v>215</v>
      </c>
      <c r="V82" s="81">
        <f>U82*J82</f>
        <v>215</v>
      </c>
      <c r="W82" s="82"/>
      <c r="X82" s="83"/>
      <c r="Y82" s="84"/>
      <c r="Z82" s="82"/>
      <c r="AA82" s="84"/>
      <c r="AB82" s="84"/>
      <c r="AC82" s="84"/>
    </row>
    <row r="83" spans="1:29" x14ac:dyDescent="0.25">
      <c r="A83" s="79" t="s">
        <v>169</v>
      </c>
      <c r="B83" s="131" t="s">
        <v>170</v>
      </c>
      <c r="C83" s="132" t="s">
        <v>65</v>
      </c>
      <c r="D83" s="132" t="s">
        <v>171</v>
      </c>
      <c r="E83" s="132" t="s">
        <v>172</v>
      </c>
      <c r="F83" s="132">
        <v>35</v>
      </c>
      <c r="G83" s="132">
        <f>F83*J83</f>
        <v>70</v>
      </c>
      <c r="H83" s="132">
        <v>0.55000000000000004</v>
      </c>
      <c r="I83" s="132">
        <f>H83*J83</f>
        <v>1.1000000000000001</v>
      </c>
      <c r="J83" s="133">
        <v>2</v>
      </c>
      <c r="K83" s="132">
        <v>860</v>
      </c>
      <c r="L83" s="132" t="s">
        <v>61</v>
      </c>
      <c r="M83" s="132">
        <v>646</v>
      </c>
      <c r="N83" s="132" t="s">
        <v>61</v>
      </c>
      <c r="O83" s="132">
        <v>1470</v>
      </c>
      <c r="P83" s="132">
        <v>2</v>
      </c>
      <c r="Q83" s="132">
        <f>(K83* M83* O83*P83) / (1000*1000*1000)</f>
        <v>1.63</v>
      </c>
      <c r="R83" s="132" t="s">
        <v>62</v>
      </c>
      <c r="S83" s="132">
        <f>F83*P83</f>
        <v>70</v>
      </c>
      <c r="T83" s="132">
        <f>45*P83</f>
        <v>90</v>
      </c>
      <c r="U83" s="134">
        <v>387</v>
      </c>
      <c r="V83" s="81">
        <f>U83*J83</f>
        <v>774</v>
      </c>
      <c r="W83" s="82"/>
      <c r="X83" s="83"/>
      <c r="Y83" s="84"/>
      <c r="Z83" s="82"/>
      <c r="AA83" s="84"/>
      <c r="AB83" s="84"/>
      <c r="AC83" s="84"/>
    </row>
    <row r="84" spans="1:29" x14ac:dyDescent="0.25">
      <c r="A84" s="79" t="s">
        <v>173</v>
      </c>
      <c r="B84" s="131" t="s">
        <v>174</v>
      </c>
      <c r="C84" s="132" t="s">
        <v>65</v>
      </c>
      <c r="D84" s="132" t="s">
        <v>175</v>
      </c>
      <c r="E84" s="132" t="s">
        <v>176</v>
      </c>
      <c r="F84" s="132">
        <v>65</v>
      </c>
      <c r="G84" s="132">
        <f>F84*J84</f>
        <v>65</v>
      </c>
      <c r="H84" s="132">
        <v>0.21000000000000002</v>
      </c>
      <c r="I84" s="132">
        <f>H84*J84</f>
        <v>0.21</v>
      </c>
      <c r="J84" s="133">
        <v>1</v>
      </c>
      <c r="K84" s="132">
        <v>900</v>
      </c>
      <c r="L84" s="132" t="s">
        <v>61</v>
      </c>
      <c r="M84" s="132">
        <v>1000</v>
      </c>
      <c r="N84" s="132" t="s">
        <v>61</v>
      </c>
      <c r="O84" s="132">
        <v>435</v>
      </c>
      <c r="P84" s="132">
        <v>1</v>
      </c>
      <c r="Q84" s="132">
        <f>(K84* M84* O84*P84) / (1000*1000*1000)</f>
        <v>0.39</v>
      </c>
      <c r="R84" s="132" t="s">
        <v>62</v>
      </c>
      <c r="S84" s="132">
        <f>F84*P84</f>
        <v>65</v>
      </c>
      <c r="T84" s="132">
        <f>75*P84</f>
        <v>75</v>
      </c>
      <c r="U84" s="134">
        <v>640.70000000000005</v>
      </c>
      <c r="V84" s="81">
        <f>U84*J84</f>
        <v>640.70000000000005</v>
      </c>
      <c r="W84" s="82"/>
      <c r="X84" s="83"/>
      <c r="Y84" s="84"/>
      <c r="Z84" s="82"/>
      <c r="AA84" s="84"/>
      <c r="AB84" s="84"/>
      <c r="AC84" s="84"/>
    </row>
    <row r="85" spans="1:29" x14ac:dyDescent="0.25">
      <c r="A85" s="79" t="s">
        <v>177</v>
      </c>
      <c r="B85" s="131" t="s">
        <v>178</v>
      </c>
      <c r="C85" s="132" t="s">
        <v>65</v>
      </c>
      <c r="D85" s="132" t="s">
        <v>179</v>
      </c>
      <c r="E85" s="132" t="s">
        <v>180</v>
      </c>
      <c r="F85" s="132">
        <v>30</v>
      </c>
      <c r="G85" s="132">
        <f>F85*J85</f>
        <v>30</v>
      </c>
      <c r="H85" s="132">
        <v>0.38000000000000006</v>
      </c>
      <c r="I85" s="132">
        <f>H85*J85</f>
        <v>0.38</v>
      </c>
      <c r="J85" s="133">
        <v>1</v>
      </c>
      <c r="K85" s="132">
        <v>900</v>
      </c>
      <c r="L85" s="132" t="s">
        <v>61</v>
      </c>
      <c r="M85" s="132">
        <v>947</v>
      </c>
      <c r="N85" s="132" t="s">
        <v>61</v>
      </c>
      <c r="O85" s="132">
        <v>715</v>
      </c>
      <c r="P85" s="132">
        <v>1</v>
      </c>
      <c r="Q85" s="132">
        <f>(K85* M85* O85*P85) / (1000*1000*1000)</f>
        <v>0.61</v>
      </c>
      <c r="R85" s="132" t="s">
        <v>62</v>
      </c>
      <c r="S85" s="132">
        <f>F85*P85</f>
        <v>30</v>
      </c>
      <c r="T85" s="132">
        <f>35*P85</f>
        <v>35</v>
      </c>
      <c r="U85" s="134">
        <v>156.95000000000002</v>
      </c>
      <c r="V85" s="81">
        <f>U85*J85</f>
        <v>156.94999999999999</v>
      </c>
      <c r="W85" s="82"/>
      <c r="X85" s="83"/>
      <c r="Y85" s="84"/>
      <c r="Z85" s="82"/>
      <c r="AA85" s="84"/>
      <c r="AB85" s="84"/>
      <c r="AC85" s="84"/>
    </row>
    <row r="86" spans="1:29" x14ac:dyDescent="0.25">
      <c r="A86" s="79" t="s">
        <v>181</v>
      </c>
      <c r="B86" s="131" t="s">
        <v>182</v>
      </c>
      <c r="C86" s="132" t="s">
        <v>65</v>
      </c>
      <c r="D86" s="132" t="s">
        <v>183</v>
      </c>
      <c r="E86" s="132" t="s">
        <v>176</v>
      </c>
      <c r="F86" s="132">
        <v>108</v>
      </c>
      <c r="G86" s="132">
        <f>F86*J86</f>
        <v>108</v>
      </c>
      <c r="H86" s="132">
        <v>0.21000000000000002</v>
      </c>
      <c r="I86" s="132">
        <f>H86*J86</f>
        <v>0.21</v>
      </c>
      <c r="J86" s="133">
        <v>1</v>
      </c>
      <c r="K86" s="132">
        <v>900</v>
      </c>
      <c r="L86" s="132" t="s">
        <v>61</v>
      </c>
      <c r="M86" s="132">
        <v>1000</v>
      </c>
      <c r="N86" s="132" t="s">
        <v>61</v>
      </c>
      <c r="O86" s="132">
        <v>435</v>
      </c>
      <c r="P86" s="132">
        <v>1</v>
      </c>
      <c r="Q86" s="132">
        <f>(K86* M86* O86*P86) / (1000*1000*1000)</f>
        <v>0.39</v>
      </c>
      <c r="R86" s="132" t="s">
        <v>62</v>
      </c>
      <c r="S86" s="132">
        <f>F86*P86</f>
        <v>108</v>
      </c>
      <c r="T86" s="132">
        <f>118*P86</f>
        <v>118</v>
      </c>
      <c r="U86" s="134">
        <v>531.04999999999995</v>
      </c>
      <c r="V86" s="81">
        <f>U86*J86</f>
        <v>531.04999999999995</v>
      </c>
      <c r="W86" s="82"/>
      <c r="X86" s="83"/>
      <c r="Y86" s="84"/>
      <c r="Z86" s="82"/>
      <c r="AA86" s="84"/>
      <c r="AB86" s="84"/>
      <c r="AC86" s="84"/>
    </row>
    <row r="87" spans="1:29" x14ac:dyDescent="0.25">
      <c r="A87" s="79" t="s">
        <v>184</v>
      </c>
      <c r="B87" s="131" t="s">
        <v>178</v>
      </c>
      <c r="C87" s="132" t="s">
        <v>65</v>
      </c>
      <c r="D87" s="132" t="s">
        <v>179</v>
      </c>
      <c r="E87" s="132" t="s">
        <v>180</v>
      </c>
      <c r="F87" s="132">
        <v>30</v>
      </c>
      <c r="G87" s="132">
        <f>F87*J87</f>
        <v>30</v>
      </c>
      <c r="H87" s="132">
        <v>0.38000000000000006</v>
      </c>
      <c r="I87" s="132">
        <f>H87*J87</f>
        <v>0.38</v>
      </c>
      <c r="J87" s="133">
        <v>1</v>
      </c>
      <c r="K87" s="132">
        <v>900</v>
      </c>
      <c r="L87" s="132" t="s">
        <v>61</v>
      </c>
      <c r="M87" s="132">
        <v>947</v>
      </c>
      <c r="N87" s="132" t="s">
        <v>61</v>
      </c>
      <c r="O87" s="132">
        <v>715</v>
      </c>
      <c r="P87" s="132">
        <v>1</v>
      </c>
      <c r="Q87" s="132">
        <f>(K87* M87* O87*P87) / (1000*1000*1000)</f>
        <v>0.61</v>
      </c>
      <c r="R87" s="132" t="s">
        <v>62</v>
      </c>
      <c r="S87" s="132">
        <f>F87*P87</f>
        <v>30</v>
      </c>
      <c r="T87" s="132">
        <f>35*P87</f>
        <v>35</v>
      </c>
      <c r="U87" s="134">
        <v>156.95000000000002</v>
      </c>
      <c r="V87" s="81">
        <f>U87*J87</f>
        <v>156.94999999999999</v>
      </c>
      <c r="W87" s="82"/>
      <c r="X87" s="83"/>
      <c r="Y87" s="84"/>
      <c r="Z87" s="82"/>
      <c r="AA87" s="84"/>
      <c r="AB87" s="84"/>
      <c r="AC87" s="84"/>
    </row>
    <row r="88" spans="1:29" x14ac:dyDescent="0.25">
      <c r="A88" s="79" t="s">
        <v>185</v>
      </c>
      <c r="B88" s="131" t="s">
        <v>159</v>
      </c>
      <c r="C88" s="132" t="s">
        <v>65</v>
      </c>
      <c r="D88" s="132" t="s">
        <v>186</v>
      </c>
      <c r="E88" s="132" t="s">
        <v>187</v>
      </c>
      <c r="F88" s="132"/>
      <c r="G88" s="132">
        <f>F88*J88</f>
        <v>0</v>
      </c>
      <c r="H88" s="132">
        <v>3</v>
      </c>
      <c r="I88" s="132">
        <f>H88*J88</f>
        <v>3</v>
      </c>
      <c r="J88" s="133">
        <v>1</v>
      </c>
      <c r="K88" s="132"/>
      <c r="L88" s="132" t="s">
        <v>61</v>
      </c>
      <c r="M88" s="132"/>
      <c r="N88" s="132" t="s">
        <v>61</v>
      </c>
      <c r="O88" s="132"/>
      <c r="P88" s="132">
        <v>1</v>
      </c>
      <c r="Q88" s="132">
        <f>(K88* M88* O88*P88) / (1000*1000*1000)</f>
        <v>0</v>
      </c>
      <c r="R88" s="132" t="s">
        <v>62</v>
      </c>
      <c r="S88" s="132">
        <f>F88*P88</f>
        <v>0</v>
      </c>
      <c r="T88" s="132">
        <f>0*P88</f>
        <v>0</v>
      </c>
      <c r="U88" s="134">
        <v>817.8599999999999</v>
      </c>
      <c r="V88" s="81">
        <f>U88*J88</f>
        <v>817.86</v>
      </c>
      <c r="W88" s="82"/>
      <c r="X88" s="83"/>
      <c r="Y88" s="84"/>
      <c r="Z88" s="82"/>
      <c r="AA88" s="84"/>
      <c r="AB88" s="84"/>
      <c r="AC88" s="84"/>
    </row>
    <row r="89" spans="1:29" x14ac:dyDescent="0.25">
      <c r="A89" s="79" t="s">
        <v>188</v>
      </c>
      <c r="B89" s="131" t="s">
        <v>189</v>
      </c>
      <c r="C89" s="132" t="s">
        <v>65</v>
      </c>
      <c r="D89" s="132" t="s">
        <v>190</v>
      </c>
      <c r="E89" s="132" t="s">
        <v>133</v>
      </c>
      <c r="F89" s="132"/>
      <c r="G89" s="132">
        <f>F89*J89</f>
        <v>0</v>
      </c>
      <c r="H89" s="132">
        <v>0.83000000000000007</v>
      </c>
      <c r="I89" s="132">
        <f>H89*J89</f>
        <v>4.1500000000000004</v>
      </c>
      <c r="J89" s="133">
        <v>5</v>
      </c>
      <c r="K89" s="132"/>
      <c r="L89" s="132" t="s">
        <v>61</v>
      </c>
      <c r="M89" s="132"/>
      <c r="N89" s="132" t="s">
        <v>61</v>
      </c>
      <c r="O89" s="132"/>
      <c r="P89" s="132">
        <v>5</v>
      </c>
      <c r="Q89" s="132">
        <f>(K89* M89* O89*P89) / (1000*1000*1000)</f>
        <v>0</v>
      </c>
      <c r="R89" s="132" t="s">
        <v>62</v>
      </c>
      <c r="S89" s="132">
        <f>F89*P89</f>
        <v>0</v>
      </c>
      <c r="T89" s="132">
        <f>0*P89</f>
        <v>0</v>
      </c>
      <c r="U89" s="134">
        <v>174.01</v>
      </c>
      <c r="V89" s="81">
        <f>U89*J89</f>
        <v>870.05</v>
      </c>
      <c r="W89" s="82"/>
      <c r="X89" s="83"/>
      <c r="Y89" s="84"/>
      <c r="Z89" s="82"/>
      <c r="AA89" s="84"/>
      <c r="AB89" s="84"/>
      <c r="AC89" s="84"/>
    </row>
    <row r="90" spans="1:29" x14ac:dyDescent="0.25">
      <c r="A90" s="79" t="s">
        <v>191</v>
      </c>
      <c r="B90" s="131" t="s">
        <v>81</v>
      </c>
      <c r="C90" s="132" t="s">
        <v>65</v>
      </c>
      <c r="D90" s="132" t="s">
        <v>82</v>
      </c>
      <c r="E90" s="132" t="s">
        <v>83</v>
      </c>
      <c r="F90" s="132">
        <v>7</v>
      </c>
      <c r="G90" s="132">
        <f>F90*J90</f>
        <v>7</v>
      </c>
      <c r="H90" s="132">
        <v>0.05</v>
      </c>
      <c r="I90" s="132">
        <f>H90*J90</f>
        <v>0.05</v>
      </c>
      <c r="J90" s="133">
        <v>1</v>
      </c>
      <c r="K90" s="132">
        <v>605</v>
      </c>
      <c r="L90" s="132" t="s">
        <v>61</v>
      </c>
      <c r="M90" s="132">
        <v>550</v>
      </c>
      <c r="N90" s="132" t="s">
        <v>61</v>
      </c>
      <c r="O90" s="132">
        <v>320</v>
      </c>
      <c r="P90" s="132">
        <v>1</v>
      </c>
      <c r="Q90" s="132">
        <f>(K90* M90* O90*P90) / (1000*1000*1000)</f>
        <v>0.11</v>
      </c>
      <c r="R90" s="132" t="s">
        <v>62</v>
      </c>
      <c r="S90" s="132">
        <f>F90*P90</f>
        <v>7</v>
      </c>
      <c r="T90" s="132">
        <f>12*P90</f>
        <v>12</v>
      </c>
      <c r="U90" s="134">
        <v>86</v>
      </c>
      <c r="V90" s="81">
        <f>U90*J90</f>
        <v>86</v>
      </c>
      <c r="W90" s="82"/>
      <c r="X90" s="83"/>
      <c r="Y90" s="84"/>
      <c r="Z90" s="82"/>
      <c r="AA90" s="84"/>
      <c r="AB90" s="84"/>
      <c r="AC90" s="84"/>
    </row>
    <row r="91" spans="1:29" ht="18.75" x14ac:dyDescent="0.3">
      <c r="A91" s="79"/>
      <c r="B91" s="135" t="s">
        <v>192</v>
      </c>
      <c r="C91" s="113"/>
      <c r="D91" s="113"/>
      <c r="E91" s="113"/>
      <c r="F91" s="113"/>
      <c r="G91" s="113"/>
      <c r="H91" s="113"/>
      <c r="I91" s="113"/>
      <c r="J91" s="114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5"/>
      <c r="V91" s="80"/>
    </row>
    <row r="92" spans="1:29" x14ac:dyDescent="0.25">
      <c r="A92" s="79"/>
      <c r="B92" s="113"/>
      <c r="C92" s="113"/>
      <c r="D92" s="113"/>
      <c r="E92" s="113"/>
      <c r="F92" s="113"/>
      <c r="G92" s="113"/>
      <c r="H92" s="113"/>
      <c r="I92" s="113"/>
      <c r="J92" s="114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5"/>
      <c r="V92" s="80"/>
    </row>
    <row r="93" spans="1:29" x14ac:dyDescent="0.25">
      <c r="A93" s="79" t="s">
        <v>193</v>
      </c>
      <c r="B93" s="131" t="s">
        <v>194</v>
      </c>
      <c r="C93" s="132" t="s">
        <v>65</v>
      </c>
      <c r="D93" s="132" t="s">
        <v>195</v>
      </c>
      <c r="E93" s="132" t="s">
        <v>196</v>
      </c>
      <c r="F93" s="132">
        <v>75</v>
      </c>
      <c r="G93" s="132">
        <f>F93*J93</f>
        <v>150</v>
      </c>
      <c r="H93" s="132">
        <v>0.85000000000000009</v>
      </c>
      <c r="I93" s="132">
        <f>H93*J93</f>
        <v>1.7</v>
      </c>
      <c r="J93" s="133">
        <v>2</v>
      </c>
      <c r="K93" s="132">
        <v>900</v>
      </c>
      <c r="L93" s="132" t="s">
        <v>61</v>
      </c>
      <c r="M93" s="132">
        <v>890</v>
      </c>
      <c r="N93" s="132" t="s">
        <v>61</v>
      </c>
      <c r="O93" s="132">
        <v>1500</v>
      </c>
      <c r="P93" s="132">
        <v>2</v>
      </c>
      <c r="Q93" s="132">
        <f>(K93* M93* O93*P93) / (1000*1000*1000)</f>
        <v>2.4</v>
      </c>
      <c r="R93" s="132" t="s">
        <v>62</v>
      </c>
      <c r="S93" s="132">
        <f>F93*P93</f>
        <v>150</v>
      </c>
      <c r="T93" s="132">
        <f>85*P93</f>
        <v>170</v>
      </c>
      <c r="U93" s="134">
        <v>301</v>
      </c>
      <c r="V93" s="81">
        <f>U93*J93</f>
        <v>602</v>
      </c>
      <c r="W93" s="82"/>
      <c r="X93" s="83"/>
      <c r="Y93" s="84"/>
      <c r="Z93" s="82"/>
      <c r="AA93" s="84"/>
      <c r="AB93" s="84"/>
      <c r="AC93" s="84"/>
    </row>
    <row r="94" spans="1:29" ht="15.75" thickBot="1" x14ac:dyDescent="0.3">
      <c r="A94" s="136"/>
      <c r="B94" s="137"/>
      <c r="C94" s="137"/>
      <c r="D94" s="137"/>
      <c r="E94" s="137"/>
      <c r="F94" s="137"/>
      <c r="G94" s="137"/>
      <c r="H94" s="137"/>
      <c r="I94" s="137"/>
      <c r="J94" s="138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9"/>
      <c r="V94" s="140"/>
    </row>
    <row r="95" spans="1:29" x14ac:dyDescent="0.25">
      <c r="A95" s="141" t="s">
        <v>85</v>
      </c>
      <c r="B95" s="152" t="s">
        <v>197</v>
      </c>
      <c r="C95" s="153" t="s">
        <v>65</v>
      </c>
      <c r="D95" s="153" t="s">
        <v>198</v>
      </c>
      <c r="E95" s="153" t="s">
        <v>199</v>
      </c>
      <c r="F95" s="153">
        <v>157</v>
      </c>
      <c r="G95" s="153">
        <f>F95*J95</f>
        <v>314</v>
      </c>
      <c r="H95" s="153">
        <v>1.41</v>
      </c>
      <c r="I95" s="153">
        <f>H95*J95</f>
        <v>2.82</v>
      </c>
      <c r="J95" s="154">
        <v>2</v>
      </c>
      <c r="K95" s="153">
        <v>2200</v>
      </c>
      <c r="L95" s="153" t="s">
        <v>61</v>
      </c>
      <c r="M95" s="153">
        <v>890</v>
      </c>
      <c r="N95" s="153" t="s">
        <v>61</v>
      </c>
      <c r="O95" s="153">
        <v>1000</v>
      </c>
      <c r="P95" s="153">
        <v>2</v>
      </c>
      <c r="Q95" s="153">
        <f>(K95* M95* O95*P95) / (1000*1000*1000)</f>
        <v>3.92</v>
      </c>
      <c r="R95" s="153" t="s">
        <v>62</v>
      </c>
      <c r="S95" s="153">
        <f>F95*P95</f>
        <v>314</v>
      </c>
      <c r="T95" s="153">
        <f>167*P95</f>
        <v>334</v>
      </c>
      <c r="U95" s="155">
        <v>924.5</v>
      </c>
      <c r="V95" s="156">
        <f>U95*J95</f>
        <v>1849</v>
      </c>
      <c r="W95" s="82"/>
      <c r="X95" s="83"/>
      <c r="Y95" s="84"/>
      <c r="Z95" s="82"/>
      <c r="AA95" s="84"/>
      <c r="AB95" s="84"/>
      <c r="AC95" s="84"/>
    </row>
    <row r="96" spans="1:29" x14ac:dyDescent="0.25">
      <c r="A96" s="79"/>
      <c r="B96" s="113"/>
      <c r="C96" s="113"/>
      <c r="D96" s="113"/>
      <c r="E96" s="113"/>
      <c r="F96" s="113"/>
      <c r="G96" s="113"/>
      <c r="H96" s="113"/>
      <c r="I96" s="113"/>
      <c r="J96" s="114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5"/>
      <c r="V96" s="80"/>
    </row>
    <row r="97" spans="1:29" x14ac:dyDescent="0.25">
      <c r="A97" s="79" t="s">
        <v>200</v>
      </c>
      <c r="B97" s="131" t="s">
        <v>201</v>
      </c>
      <c r="C97" s="132" t="s">
        <v>65</v>
      </c>
      <c r="D97" s="132" t="s">
        <v>202</v>
      </c>
      <c r="E97" s="132" t="s">
        <v>203</v>
      </c>
      <c r="F97" s="132"/>
      <c r="G97" s="132">
        <f>F97*J97</f>
        <v>0</v>
      </c>
      <c r="H97" s="132"/>
      <c r="I97" s="132">
        <f>H97*J97</f>
        <v>0</v>
      </c>
      <c r="J97" s="133">
        <v>2</v>
      </c>
      <c r="K97" s="132"/>
      <c r="L97" s="132" t="s">
        <v>61</v>
      </c>
      <c r="M97" s="132"/>
      <c r="N97" s="132" t="s">
        <v>61</v>
      </c>
      <c r="O97" s="132"/>
      <c r="P97" s="132">
        <v>2</v>
      </c>
      <c r="Q97" s="132">
        <f>(K97* M97* O97*P97) / (1000*1000*1000)</f>
        <v>0</v>
      </c>
      <c r="R97" s="132" t="s">
        <v>62</v>
      </c>
      <c r="S97" s="132">
        <f>F97*P97</f>
        <v>0</v>
      </c>
      <c r="T97" s="132">
        <f>0*P97</f>
        <v>0</v>
      </c>
      <c r="U97" s="134">
        <v>158.82000000000002</v>
      </c>
      <c r="V97" s="81">
        <f>U97*J97</f>
        <v>317.64</v>
      </c>
      <c r="W97" s="82"/>
      <c r="X97" s="83"/>
      <c r="Y97" s="84"/>
      <c r="Z97" s="82"/>
      <c r="AA97" s="84"/>
      <c r="AB97" s="84"/>
      <c r="AC97" s="84"/>
    </row>
    <row r="98" spans="1:29" x14ac:dyDescent="0.25">
      <c r="A98" s="79"/>
      <c r="B98" s="113"/>
      <c r="C98" s="113"/>
      <c r="D98" s="113"/>
      <c r="E98" s="113"/>
      <c r="F98" s="113"/>
      <c r="G98" s="113"/>
      <c r="H98" s="113"/>
      <c r="I98" s="113"/>
      <c r="J98" s="114"/>
      <c r="K98" s="113"/>
      <c r="L98" s="113"/>
      <c r="M98" s="113"/>
      <c r="N98" s="113"/>
      <c r="O98" s="113"/>
      <c r="P98" s="113"/>
      <c r="Q98" s="113"/>
      <c r="R98" s="113"/>
      <c r="S98" s="113"/>
      <c r="T98" s="113"/>
      <c r="U98" s="115"/>
      <c r="V98" s="80"/>
    </row>
    <row r="99" spans="1:29" x14ac:dyDescent="0.25">
      <c r="A99" s="79" t="s">
        <v>86</v>
      </c>
      <c r="B99" s="131" t="s">
        <v>204</v>
      </c>
      <c r="C99" s="132" t="s">
        <v>65</v>
      </c>
      <c r="D99" s="132" t="s">
        <v>205</v>
      </c>
      <c r="E99" s="132" t="s">
        <v>206</v>
      </c>
      <c r="F99" s="132"/>
      <c r="G99" s="132">
        <f>F99*J99</f>
        <v>0</v>
      </c>
      <c r="H99" s="132">
        <v>1.6500000000000001</v>
      </c>
      <c r="I99" s="132">
        <f>H99*J99</f>
        <v>3.3</v>
      </c>
      <c r="J99" s="133">
        <v>2</v>
      </c>
      <c r="K99" s="132"/>
      <c r="L99" s="132" t="s">
        <v>61</v>
      </c>
      <c r="M99" s="132"/>
      <c r="N99" s="132" t="s">
        <v>61</v>
      </c>
      <c r="O99" s="132"/>
      <c r="P99" s="132">
        <v>2</v>
      </c>
      <c r="Q99" s="132">
        <f>(K99* M99* O99*P99) / (1000*1000*1000)</f>
        <v>0</v>
      </c>
      <c r="R99" s="132" t="s">
        <v>62</v>
      </c>
      <c r="S99" s="132">
        <f>F99*P99</f>
        <v>0</v>
      </c>
      <c r="T99" s="132">
        <f>0*P99</f>
        <v>0</v>
      </c>
      <c r="U99" s="134">
        <v>696.6</v>
      </c>
      <c r="V99" s="81">
        <f>U99*J99</f>
        <v>1393.2</v>
      </c>
      <c r="W99" s="82"/>
      <c r="X99" s="83"/>
      <c r="Y99" s="84"/>
      <c r="Z99" s="82"/>
      <c r="AA99" s="84"/>
      <c r="AB99" s="84"/>
      <c r="AC99" s="84"/>
    </row>
    <row r="100" spans="1:29" x14ac:dyDescent="0.25">
      <c r="A100" s="79"/>
      <c r="B100" s="113"/>
      <c r="C100" s="113"/>
      <c r="D100" s="113"/>
      <c r="E100" s="113"/>
      <c r="F100" s="113"/>
      <c r="G100" s="113"/>
      <c r="H100" s="113"/>
      <c r="I100" s="113"/>
      <c r="J100" s="114"/>
      <c r="K100" s="113"/>
      <c r="L100" s="113"/>
      <c r="M100" s="113"/>
      <c r="N100" s="113"/>
      <c r="O100" s="113"/>
      <c r="P100" s="113"/>
      <c r="Q100" s="113"/>
      <c r="R100" s="113"/>
      <c r="S100" s="113"/>
      <c r="T100" s="113"/>
      <c r="U100" s="115"/>
      <c r="V100" s="80"/>
    </row>
    <row r="101" spans="1:29" x14ac:dyDescent="0.25">
      <c r="A101" s="79" t="s">
        <v>207</v>
      </c>
      <c r="B101" s="131" t="s">
        <v>208</v>
      </c>
      <c r="C101" s="132" t="s">
        <v>65</v>
      </c>
      <c r="D101" s="132" t="s">
        <v>209</v>
      </c>
      <c r="E101" s="132" t="s">
        <v>210</v>
      </c>
      <c r="F101" s="132">
        <v>105</v>
      </c>
      <c r="G101" s="132">
        <f>F101*J101</f>
        <v>210</v>
      </c>
      <c r="H101" s="132">
        <v>1.21</v>
      </c>
      <c r="I101" s="132">
        <f>H101*J101</f>
        <v>2.42</v>
      </c>
      <c r="J101" s="133">
        <v>2</v>
      </c>
      <c r="K101" s="132">
        <v>1900</v>
      </c>
      <c r="L101" s="132" t="s">
        <v>61</v>
      </c>
      <c r="M101" s="132">
        <v>890</v>
      </c>
      <c r="N101" s="132" t="s">
        <v>61</v>
      </c>
      <c r="O101" s="132">
        <v>1000</v>
      </c>
      <c r="P101" s="132">
        <v>2</v>
      </c>
      <c r="Q101" s="132">
        <f>(K101* M101* O101*P101) / (1000*1000*1000)</f>
        <v>3.38</v>
      </c>
      <c r="R101" s="132" t="s">
        <v>62</v>
      </c>
      <c r="S101" s="132">
        <f>F101*P101</f>
        <v>210</v>
      </c>
      <c r="T101" s="132">
        <f>115*P101</f>
        <v>230</v>
      </c>
      <c r="U101" s="134">
        <v>365.5</v>
      </c>
      <c r="V101" s="81">
        <f>U101*J101</f>
        <v>731</v>
      </c>
      <c r="W101" s="82"/>
      <c r="X101" s="83"/>
      <c r="Y101" s="84"/>
      <c r="Z101" s="82"/>
      <c r="AA101" s="84"/>
      <c r="AB101" s="84"/>
      <c r="AC101" s="84"/>
    </row>
    <row r="102" spans="1:29" x14ac:dyDescent="0.25">
      <c r="A102" s="79"/>
      <c r="B102" s="113"/>
      <c r="C102" s="113"/>
      <c r="D102" s="113"/>
      <c r="E102" s="113"/>
      <c r="F102" s="113"/>
      <c r="G102" s="113"/>
      <c r="H102" s="113"/>
      <c r="I102" s="113"/>
      <c r="J102" s="114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5"/>
      <c r="V102" s="80"/>
    </row>
    <row r="103" spans="1:29" x14ac:dyDescent="0.25">
      <c r="A103" s="79" t="s">
        <v>211</v>
      </c>
      <c r="B103" s="131" t="s">
        <v>212</v>
      </c>
      <c r="C103" s="132" t="s">
        <v>65</v>
      </c>
      <c r="D103" s="132" t="s">
        <v>213</v>
      </c>
      <c r="E103" s="132" t="s">
        <v>214</v>
      </c>
      <c r="F103" s="132"/>
      <c r="G103" s="132">
        <f>F103*J103</f>
        <v>0</v>
      </c>
      <c r="H103" s="132"/>
      <c r="I103" s="132">
        <f>H103*J103</f>
        <v>0</v>
      </c>
      <c r="J103" s="133">
        <v>2</v>
      </c>
      <c r="K103" s="132"/>
      <c r="L103" s="132" t="s">
        <v>61</v>
      </c>
      <c r="M103" s="132"/>
      <c r="N103" s="132" t="s">
        <v>61</v>
      </c>
      <c r="O103" s="132"/>
      <c r="P103" s="132">
        <v>2</v>
      </c>
      <c r="Q103" s="132">
        <f>(K103* M103* O103*P103) / (1000*1000*1000)</f>
        <v>0</v>
      </c>
      <c r="R103" s="132" t="s">
        <v>62</v>
      </c>
      <c r="S103" s="132">
        <f>F103*P103</f>
        <v>0</v>
      </c>
      <c r="T103" s="132">
        <f>0*P103</f>
        <v>0</v>
      </c>
      <c r="U103" s="134">
        <v>138.23999999999998</v>
      </c>
      <c r="V103" s="81">
        <f>U103*J103</f>
        <v>276.48</v>
      </c>
      <c r="W103" s="82"/>
      <c r="X103" s="83"/>
      <c r="Y103" s="84"/>
      <c r="Z103" s="82"/>
      <c r="AA103" s="84"/>
      <c r="AB103" s="84"/>
      <c r="AC103" s="84"/>
    </row>
    <row r="104" spans="1:29" x14ac:dyDescent="0.25">
      <c r="A104" s="79"/>
      <c r="B104" s="113"/>
      <c r="C104" s="113"/>
      <c r="D104" s="113"/>
      <c r="E104" s="113"/>
      <c r="F104" s="113"/>
      <c r="G104" s="113"/>
      <c r="H104" s="113"/>
      <c r="I104" s="113"/>
      <c r="J104" s="114"/>
      <c r="K104" s="113"/>
      <c r="L104" s="113"/>
      <c r="M104" s="113"/>
      <c r="N104" s="113"/>
      <c r="O104" s="113"/>
      <c r="P104" s="113"/>
      <c r="Q104" s="113"/>
      <c r="R104" s="113"/>
      <c r="S104" s="113"/>
      <c r="T104" s="113"/>
      <c r="U104" s="115"/>
      <c r="V104" s="80"/>
    </row>
    <row r="105" spans="1:29" x14ac:dyDescent="0.25">
      <c r="A105" s="79" t="s">
        <v>215</v>
      </c>
      <c r="B105" s="131" t="s">
        <v>216</v>
      </c>
      <c r="C105" s="132" t="s">
        <v>65</v>
      </c>
      <c r="D105" s="132" t="s">
        <v>217</v>
      </c>
      <c r="E105" s="132" t="s">
        <v>218</v>
      </c>
      <c r="F105" s="132"/>
      <c r="G105" s="132">
        <f>F105*J105</f>
        <v>0</v>
      </c>
      <c r="H105" s="132">
        <v>0.97</v>
      </c>
      <c r="I105" s="132">
        <f>H105*J105</f>
        <v>3.88</v>
      </c>
      <c r="J105" s="133">
        <v>4</v>
      </c>
      <c r="K105" s="132"/>
      <c r="L105" s="132" t="s">
        <v>61</v>
      </c>
      <c r="M105" s="132"/>
      <c r="N105" s="132" t="s">
        <v>61</v>
      </c>
      <c r="O105" s="132"/>
      <c r="P105" s="132">
        <v>4</v>
      </c>
      <c r="Q105" s="132">
        <f>(K105* M105* O105*P105) / (1000*1000*1000)</f>
        <v>0</v>
      </c>
      <c r="R105" s="132" t="s">
        <v>62</v>
      </c>
      <c r="S105" s="132">
        <f>F105*P105</f>
        <v>0</v>
      </c>
      <c r="T105" s="132">
        <f>0*P105</f>
        <v>0</v>
      </c>
      <c r="U105" s="134">
        <v>349.65000000000003</v>
      </c>
      <c r="V105" s="81">
        <f>U105*J105</f>
        <v>1398.6</v>
      </c>
      <c r="W105" s="82"/>
      <c r="X105" s="83"/>
      <c r="Y105" s="84"/>
      <c r="Z105" s="82"/>
      <c r="AA105" s="84"/>
      <c r="AB105" s="84"/>
      <c r="AC105" s="84"/>
    </row>
    <row r="106" spans="1:29" x14ac:dyDescent="0.25">
      <c r="A106" s="79"/>
      <c r="B106" s="113"/>
      <c r="C106" s="113"/>
      <c r="D106" s="113"/>
      <c r="E106" s="113"/>
      <c r="F106" s="113"/>
      <c r="G106" s="113"/>
      <c r="H106" s="113"/>
      <c r="I106" s="113"/>
      <c r="J106" s="114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5"/>
      <c r="V106" s="80"/>
    </row>
    <row r="107" spans="1:29" x14ac:dyDescent="0.25">
      <c r="A107" s="79" t="s">
        <v>219</v>
      </c>
      <c r="B107" s="131" t="s">
        <v>220</v>
      </c>
      <c r="C107" s="132" t="s">
        <v>65</v>
      </c>
      <c r="D107" s="132" t="s">
        <v>221</v>
      </c>
      <c r="E107" s="132" t="s">
        <v>222</v>
      </c>
      <c r="F107" s="132"/>
      <c r="G107" s="132">
        <f>F107*J107</f>
        <v>0</v>
      </c>
      <c r="H107" s="132">
        <v>0.31000000000000005</v>
      </c>
      <c r="I107" s="132">
        <f>H107*J107</f>
        <v>0.31</v>
      </c>
      <c r="J107" s="133">
        <v>1</v>
      </c>
      <c r="K107" s="132"/>
      <c r="L107" s="132" t="s">
        <v>61</v>
      </c>
      <c r="M107" s="132"/>
      <c r="N107" s="132" t="s">
        <v>61</v>
      </c>
      <c r="O107" s="132"/>
      <c r="P107" s="132">
        <v>1</v>
      </c>
      <c r="Q107" s="132">
        <f>(K107* M107* O107*P107) / (1000*1000*1000)</f>
        <v>0</v>
      </c>
      <c r="R107" s="132" t="s">
        <v>62</v>
      </c>
      <c r="S107" s="132">
        <f>F107*P107</f>
        <v>0</v>
      </c>
      <c r="T107" s="132">
        <f>0*P107</f>
        <v>0</v>
      </c>
      <c r="U107" s="134">
        <v>220.59</v>
      </c>
      <c r="V107" s="81">
        <f>U107*J107</f>
        <v>220.59</v>
      </c>
      <c r="W107" s="82"/>
      <c r="X107" s="83"/>
      <c r="Y107" s="84"/>
      <c r="Z107" s="82"/>
      <c r="AA107" s="84"/>
      <c r="AB107" s="84"/>
      <c r="AC107" s="84"/>
    </row>
    <row r="108" spans="1:29" x14ac:dyDescent="0.25">
      <c r="A108" s="79"/>
      <c r="B108" s="113"/>
      <c r="C108" s="113"/>
      <c r="D108" s="113"/>
      <c r="E108" s="113"/>
      <c r="F108" s="113"/>
      <c r="G108" s="113"/>
      <c r="H108" s="113"/>
      <c r="I108" s="113"/>
      <c r="J108" s="114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5"/>
      <c r="V108" s="80"/>
    </row>
    <row r="109" spans="1:29" x14ac:dyDescent="0.25">
      <c r="A109" s="79" t="s">
        <v>223</v>
      </c>
      <c r="B109" s="131" t="s">
        <v>64</v>
      </c>
      <c r="C109" s="132" t="s">
        <v>65</v>
      </c>
      <c r="D109" s="132" t="s">
        <v>66</v>
      </c>
      <c r="E109" s="132" t="s">
        <v>67</v>
      </c>
      <c r="F109" s="132">
        <v>12</v>
      </c>
      <c r="G109" s="132">
        <f>F109*J109</f>
        <v>12</v>
      </c>
      <c r="H109" s="132">
        <v>0.43000000000000005</v>
      </c>
      <c r="I109" s="132">
        <f>H109*J109</f>
        <v>0.43</v>
      </c>
      <c r="J109" s="133">
        <v>1</v>
      </c>
      <c r="K109" s="132">
        <v>650</v>
      </c>
      <c r="L109" s="132" t="s">
        <v>61</v>
      </c>
      <c r="M109" s="132">
        <v>960</v>
      </c>
      <c r="N109" s="132" t="s">
        <v>61</v>
      </c>
      <c r="O109" s="132">
        <v>300</v>
      </c>
      <c r="P109" s="132">
        <v>1</v>
      </c>
      <c r="Q109" s="132">
        <f>(K109* M109* O109*P109) / (1000*1000*1000)</f>
        <v>0.19</v>
      </c>
      <c r="R109" s="132" t="s">
        <v>62</v>
      </c>
      <c r="S109" s="132">
        <f>F109*P109</f>
        <v>12</v>
      </c>
      <c r="T109" s="132">
        <f>17*P109</f>
        <v>17</v>
      </c>
      <c r="U109" s="134">
        <v>94.6</v>
      </c>
      <c r="V109" s="81">
        <f>U109*J109</f>
        <v>94.6</v>
      </c>
      <c r="W109" s="82"/>
      <c r="X109" s="83"/>
      <c r="Y109" s="84"/>
      <c r="Z109" s="82"/>
      <c r="AA109" s="84"/>
      <c r="AB109" s="84"/>
      <c r="AC109" s="84"/>
    </row>
    <row r="110" spans="1:29" x14ac:dyDescent="0.25">
      <c r="A110" s="79"/>
      <c r="B110" s="113"/>
      <c r="C110" s="113"/>
      <c r="D110" s="113"/>
      <c r="E110" s="113"/>
      <c r="F110" s="113"/>
      <c r="G110" s="113"/>
      <c r="H110" s="113"/>
      <c r="I110" s="113"/>
      <c r="J110" s="114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5"/>
      <c r="V110" s="80"/>
    </row>
    <row r="111" spans="1:29" x14ac:dyDescent="0.25">
      <c r="A111" s="79" t="s">
        <v>224</v>
      </c>
      <c r="B111" s="131" t="s">
        <v>225</v>
      </c>
      <c r="C111" s="132" t="s">
        <v>65</v>
      </c>
      <c r="D111" s="132" t="s">
        <v>226</v>
      </c>
      <c r="E111" s="132" t="s">
        <v>227</v>
      </c>
      <c r="F111" s="132"/>
      <c r="G111" s="132">
        <f>F111*J111</f>
        <v>0</v>
      </c>
      <c r="H111" s="132">
        <v>1.1300000000000001</v>
      </c>
      <c r="I111" s="132">
        <f>H111*J111</f>
        <v>2.2599999999999998</v>
      </c>
      <c r="J111" s="133">
        <v>2</v>
      </c>
      <c r="K111" s="132"/>
      <c r="L111" s="132" t="s">
        <v>61</v>
      </c>
      <c r="M111" s="132"/>
      <c r="N111" s="132" t="s">
        <v>61</v>
      </c>
      <c r="O111" s="132"/>
      <c r="P111" s="132">
        <v>2</v>
      </c>
      <c r="Q111" s="132">
        <f>(K111* M111* O111*P111) / (1000*1000*1000)</f>
        <v>0</v>
      </c>
      <c r="R111" s="132" t="s">
        <v>62</v>
      </c>
      <c r="S111" s="132">
        <f>F111*P111</f>
        <v>0</v>
      </c>
      <c r="T111" s="132">
        <f>0*P111</f>
        <v>0</v>
      </c>
      <c r="U111" s="134">
        <v>250.52</v>
      </c>
      <c r="V111" s="81">
        <f>U111*J111</f>
        <v>501.04</v>
      </c>
      <c r="W111" s="82"/>
      <c r="X111" s="83"/>
      <c r="Y111" s="84"/>
      <c r="Z111" s="82"/>
      <c r="AA111" s="84"/>
      <c r="AB111" s="84"/>
      <c r="AC111" s="84"/>
    </row>
    <row r="112" spans="1:29" x14ac:dyDescent="0.25">
      <c r="A112" s="79"/>
      <c r="B112" s="113"/>
      <c r="C112" s="113"/>
      <c r="D112" s="113"/>
      <c r="E112" s="113"/>
      <c r="F112" s="113"/>
      <c r="G112" s="113"/>
      <c r="H112" s="113"/>
      <c r="I112" s="113"/>
      <c r="J112" s="114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5"/>
      <c r="V112" s="80"/>
    </row>
    <row r="113" spans="1:29" x14ac:dyDescent="0.25">
      <c r="A113" s="79" t="s">
        <v>228</v>
      </c>
      <c r="B113" s="131" t="s">
        <v>229</v>
      </c>
      <c r="C113" s="132" t="s">
        <v>65</v>
      </c>
      <c r="D113" s="132" t="s">
        <v>230</v>
      </c>
      <c r="E113" s="132" t="s">
        <v>231</v>
      </c>
      <c r="F113" s="132">
        <v>10</v>
      </c>
      <c r="G113" s="132">
        <f>F113*J113</f>
        <v>40</v>
      </c>
      <c r="H113" s="132">
        <v>0.08</v>
      </c>
      <c r="I113" s="132">
        <f>H113*J113</f>
        <v>0.32</v>
      </c>
      <c r="J113" s="133">
        <v>4</v>
      </c>
      <c r="K113" s="132">
        <v>490</v>
      </c>
      <c r="L113" s="132" t="s">
        <v>61</v>
      </c>
      <c r="M113" s="132">
        <v>490</v>
      </c>
      <c r="N113" s="132" t="s">
        <v>61</v>
      </c>
      <c r="O113" s="132">
        <v>640</v>
      </c>
      <c r="P113" s="132">
        <v>4</v>
      </c>
      <c r="Q113" s="132">
        <f>(K113* M113* O113*P113) / (1000*1000*1000)</f>
        <v>0.61</v>
      </c>
      <c r="R113" s="132" t="s">
        <v>62</v>
      </c>
      <c r="S113" s="132">
        <f>F113*P113</f>
        <v>40</v>
      </c>
      <c r="T113" s="132">
        <f>15*P113</f>
        <v>60</v>
      </c>
      <c r="U113" s="134">
        <v>184.9</v>
      </c>
      <c r="V113" s="81">
        <f>U113*J113</f>
        <v>739.6</v>
      </c>
      <c r="W113" s="82"/>
      <c r="X113" s="83"/>
      <c r="Y113" s="84"/>
      <c r="Z113" s="82"/>
      <c r="AA113" s="84"/>
      <c r="AB113" s="84"/>
      <c r="AC113" s="84"/>
    </row>
    <row r="114" spans="1:29" x14ac:dyDescent="0.25">
      <c r="A114" s="79"/>
      <c r="B114" s="113"/>
      <c r="C114" s="113"/>
      <c r="D114" s="113"/>
      <c r="E114" s="113"/>
      <c r="F114" s="113"/>
      <c r="G114" s="113"/>
      <c r="H114" s="113"/>
      <c r="I114" s="113"/>
      <c r="J114" s="114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5"/>
      <c r="V114" s="80"/>
    </row>
    <row r="115" spans="1:29" ht="18.75" x14ac:dyDescent="0.3">
      <c r="A115" s="79"/>
      <c r="B115" s="135" t="s">
        <v>232</v>
      </c>
      <c r="C115" s="113"/>
      <c r="D115" s="113"/>
      <c r="E115" s="113"/>
      <c r="F115" s="113"/>
      <c r="G115" s="113"/>
      <c r="H115" s="113"/>
      <c r="I115" s="113"/>
      <c r="J115" s="114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5"/>
      <c r="V115" s="80"/>
    </row>
    <row r="116" spans="1:29" x14ac:dyDescent="0.25">
      <c r="A116" s="79"/>
      <c r="B116" s="113"/>
      <c r="C116" s="113"/>
      <c r="D116" s="113"/>
      <c r="E116" s="113"/>
      <c r="F116" s="113"/>
      <c r="G116" s="113"/>
      <c r="H116" s="113"/>
      <c r="I116" s="113"/>
      <c r="J116" s="114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5"/>
      <c r="V116" s="80"/>
    </row>
    <row r="117" spans="1:29" x14ac:dyDescent="0.25">
      <c r="A117" s="79" t="s">
        <v>233</v>
      </c>
      <c r="B117" s="131" t="s">
        <v>234</v>
      </c>
      <c r="C117" s="132" t="s">
        <v>65</v>
      </c>
      <c r="D117" s="132" t="s">
        <v>235</v>
      </c>
      <c r="E117" s="132" t="s">
        <v>113</v>
      </c>
      <c r="F117" s="132"/>
      <c r="G117" s="132">
        <f>F117*J117</f>
        <v>0</v>
      </c>
      <c r="H117" s="132">
        <v>0.95000000000000007</v>
      </c>
      <c r="I117" s="132">
        <f>H117*J117</f>
        <v>0.95</v>
      </c>
      <c r="J117" s="133">
        <v>1</v>
      </c>
      <c r="K117" s="132"/>
      <c r="L117" s="132" t="s">
        <v>61</v>
      </c>
      <c r="M117" s="132"/>
      <c r="N117" s="132" t="s">
        <v>61</v>
      </c>
      <c r="O117" s="132"/>
      <c r="P117" s="132">
        <v>1</v>
      </c>
      <c r="Q117" s="132">
        <f>(K117* M117* O117*P117) / (1000*1000*1000)</f>
        <v>0</v>
      </c>
      <c r="R117" s="132" t="s">
        <v>62</v>
      </c>
      <c r="S117" s="132">
        <f>F117*P117</f>
        <v>0</v>
      </c>
      <c r="T117" s="132">
        <f>0*P117</f>
        <v>0</v>
      </c>
      <c r="U117" s="134">
        <v>157.10999999999999</v>
      </c>
      <c r="V117" s="81">
        <f>U117*J117</f>
        <v>157.11000000000001</v>
      </c>
      <c r="W117" s="82"/>
      <c r="X117" s="83"/>
      <c r="Y117" s="84"/>
      <c r="Z117" s="82"/>
      <c r="AA117" s="84"/>
      <c r="AB117" s="84"/>
      <c r="AC117" s="84"/>
    </row>
    <row r="118" spans="1:29" x14ac:dyDescent="0.25">
      <c r="A118" s="79"/>
      <c r="B118" s="113"/>
      <c r="C118" s="113"/>
      <c r="D118" s="113"/>
      <c r="E118" s="113"/>
      <c r="F118" s="113"/>
      <c r="G118" s="113"/>
      <c r="H118" s="113"/>
      <c r="I118" s="113"/>
      <c r="J118" s="114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5"/>
      <c r="V118" s="80"/>
    </row>
    <row r="119" spans="1:29" x14ac:dyDescent="0.25">
      <c r="A119" s="79" t="s">
        <v>236</v>
      </c>
      <c r="B119" s="131" t="s">
        <v>237</v>
      </c>
      <c r="C119" s="132" t="s">
        <v>65</v>
      </c>
      <c r="D119" s="132" t="s">
        <v>238</v>
      </c>
      <c r="E119" s="132" t="s">
        <v>239</v>
      </c>
      <c r="F119" s="132">
        <v>0</v>
      </c>
      <c r="G119" s="132">
        <f>F119*J119</f>
        <v>0</v>
      </c>
      <c r="H119" s="132">
        <v>0.06</v>
      </c>
      <c r="I119" s="132">
        <f>H119*J119</f>
        <v>0.18</v>
      </c>
      <c r="J119" s="133">
        <v>3</v>
      </c>
      <c r="K119" s="132">
        <v>500</v>
      </c>
      <c r="L119" s="132" t="s">
        <v>61</v>
      </c>
      <c r="M119" s="132">
        <v>500</v>
      </c>
      <c r="N119" s="132" t="s">
        <v>61</v>
      </c>
      <c r="O119" s="132">
        <v>600</v>
      </c>
      <c r="P119" s="132">
        <v>3</v>
      </c>
      <c r="Q119" s="132">
        <f>(K119* M119* O119*P119) / (1000*1000*1000)</f>
        <v>0.45</v>
      </c>
      <c r="R119" s="132" t="s">
        <v>62</v>
      </c>
      <c r="S119" s="132">
        <f>F119*P119</f>
        <v>0</v>
      </c>
      <c r="T119" s="132">
        <f>0*P119</f>
        <v>0</v>
      </c>
      <c r="U119" s="134">
        <v>73.099999999999994</v>
      </c>
      <c r="V119" s="81">
        <f>U119*J119</f>
        <v>219.3</v>
      </c>
      <c r="W119" s="82"/>
      <c r="X119" s="83"/>
      <c r="Y119" s="84"/>
      <c r="Z119" s="82"/>
      <c r="AA119" s="84"/>
      <c r="AB119" s="84"/>
      <c r="AC119" s="84"/>
    </row>
    <row r="120" spans="1:29" x14ac:dyDescent="0.25">
      <c r="A120" s="79"/>
      <c r="B120" s="113"/>
      <c r="C120" s="113"/>
      <c r="D120" s="113"/>
      <c r="E120" s="113"/>
      <c r="F120" s="113"/>
      <c r="G120" s="113"/>
      <c r="H120" s="113"/>
      <c r="I120" s="113"/>
      <c r="J120" s="114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5"/>
      <c r="V120" s="80"/>
    </row>
    <row r="121" spans="1:29" x14ac:dyDescent="0.25">
      <c r="A121" s="79" t="s">
        <v>240</v>
      </c>
      <c r="B121" s="131" t="s">
        <v>241</v>
      </c>
      <c r="C121" s="132" t="s">
        <v>65</v>
      </c>
      <c r="D121" s="132" t="s">
        <v>242</v>
      </c>
      <c r="E121" s="132" t="s">
        <v>243</v>
      </c>
      <c r="F121" s="132"/>
      <c r="G121" s="132">
        <f>F121*J121</f>
        <v>0</v>
      </c>
      <c r="H121" s="132">
        <v>0.89</v>
      </c>
      <c r="I121" s="132">
        <f>H121*J121</f>
        <v>0.89</v>
      </c>
      <c r="J121" s="133">
        <v>1</v>
      </c>
      <c r="K121" s="132"/>
      <c r="L121" s="132" t="s">
        <v>61</v>
      </c>
      <c r="M121" s="132"/>
      <c r="N121" s="132" t="s">
        <v>61</v>
      </c>
      <c r="O121" s="132"/>
      <c r="P121" s="132">
        <v>1</v>
      </c>
      <c r="Q121" s="132">
        <f>(K121* M121* O121*P121) / (1000*1000*1000)</f>
        <v>0</v>
      </c>
      <c r="R121" s="132" t="s">
        <v>62</v>
      </c>
      <c r="S121" s="132">
        <f>F121*P121</f>
        <v>0</v>
      </c>
      <c r="T121" s="132">
        <f>0*P121</f>
        <v>0</v>
      </c>
      <c r="U121" s="134">
        <v>239.55</v>
      </c>
      <c r="V121" s="81">
        <f>U121*J121</f>
        <v>239.55</v>
      </c>
      <c r="W121" s="82"/>
      <c r="X121" s="83"/>
      <c r="Y121" s="84"/>
      <c r="Z121" s="82"/>
      <c r="AA121" s="84"/>
      <c r="AB121" s="84"/>
      <c r="AC121" s="84"/>
    </row>
    <row r="122" spans="1:29" x14ac:dyDescent="0.25">
      <c r="A122" s="79"/>
      <c r="B122" s="113"/>
      <c r="C122" s="113"/>
      <c r="D122" s="113"/>
      <c r="E122" s="113"/>
      <c r="F122" s="113"/>
      <c r="G122" s="113"/>
      <c r="H122" s="113"/>
      <c r="I122" s="113"/>
      <c r="J122" s="114"/>
      <c r="K122" s="113"/>
      <c r="L122" s="113"/>
      <c r="M122" s="113"/>
      <c r="N122" s="113"/>
      <c r="O122" s="113"/>
      <c r="P122" s="113"/>
      <c r="Q122" s="113"/>
      <c r="R122" s="113"/>
      <c r="S122" s="113"/>
      <c r="T122" s="113"/>
      <c r="U122" s="115"/>
      <c r="V122" s="80"/>
    </row>
    <row r="123" spans="1:29" x14ac:dyDescent="0.25">
      <c r="A123" s="79" t="s">
        <v>244</v>
      </c>
      <c r="B123" s="131" t="s">
        <v>245</v>
      </c>
      <c r="C123" s="132" t="s">
        <v>65</v>
      </c>
      <c r="D123" s="132" t="s">
        <v>246</v>
      </c>
      <c r="E123" s="132" t="s">
        <v>247</v>
      </c>
      <c r="F123" s="132">
        <v>4.8</v>
      </c>
      <c r="G123" s="132">
        <f>F123*J123</f>
        <v>4.8</v>
      </c>
      <c r="H123" s="132">
        <v>0.79</v>
      </c>
      <c r="I123" s="132">
        <f>H123*J123</f>
        <v>0.79</v>
      </c>
      <c r="J123" s="133">
        <v>1</v>
      </c>
      <c r="K123" s="132">
        <v>1600</v>
      </c>
      <c r="L123" s="132" t="s">
        <v>61</v>
      </c>
      <c r="M123" s="132">
        <v>540</v>
      </c>
      <c r="N123" s="132" t="s">
        <v>61</v>
      </c>
      <c r="O123" s="132">
        <v>1350</v>
      </c>
      <c r="P123" s="132">
        <v>1</v>
      </c>
      <c r="Q123" s="132">
        <f>(K123* M123* O123*P123) / (1000*1000*1000)</f>
        <v>1.17</v>
      </c>
      <c r="R123" s="132" t="s">
        <v>62</v>
      </c>
      <c r="S123" s="132">
        <f>F123*P123</f>
        <v>4.8</v>
      </c>
      <c r="T123" s="132">
        <f>9.8*P123</f>
        <v>9.8000000000000007</v>
      </c>
      <c r="U123" s="134">
        <v>66.649999999999991</v>
      </c>
      <c r="V123" s="81">
        <f>U123*J123</f>
        <v>66.650000000000006</v>
      </c>
      <c r="W123" s="82"/>
      <c r="X123" s="83"/>
      <c r="Y123" s="84"/>
      <c r="Z123" s="82"/>
      <c r="AA123" s="84"/>
      <c r="AB123" s="84"/>
      <c r="AC123" s="84"/>
    </row>
    <row r="124" spans="1:29" x14ac:dyDescent="0.25">
      <c r="A124" s="79"/>
      <c r="B124" s="113"/>
      <c r="C124" s="113"/>
      <c r="D124" s="113"/>
      <c r="E124" s="113"/>
      <c r="F124" s="113"/>
      <c r="G124" s="113"/>
      <c r="H124" s="113"/>
      <c r="I124" s="113"/>
      <c r="J124" s="114"/>
      <c r="K124" s="113"/>
      <c r="L124" s="113"/>
      <c r="M124" s="113"/>
      <c r="N124" s="113"/>
      <c r="O124" s="113"/>
      <c r="P124" s="113"/>
      <c r="Q124" s="113"/>
      <c r="R124" s="113"/>
      <c r="S124" s="113"/>
      <c r="T124" s="113"/>
      <c r="U124" s="115"/>
      <c r="V124" s="80"/>
    </row>
    <row r="125" spans="1:29" x14ac:dyDescent="0.25">
      <c r="A125" s="79" t="s">
        <v>248</v>
      </c>
      <c r="B125" s="131" t="s">
        <v>249</v>
      </c>
      <c r="C125" s="132" t="s">
        <v>65</v>
      </c>
      <c r="D125" s="132" t="s">
        <v>250</v>
      </c>
      <c r="E125" s="132" t="s">
        <v>251</v>
      </c>
      <c r="F125" s="132"/>
      <c r="G125" s="132">
        <f>F125*J125</f>
        <v>0</v>
      </c>
      <c r="H125" s="132">
        <v>0.5</v>
      </c>
      <c r="I125" s="132">
        <f>H125*J125</f>
        <v>1</v>
      </c>
      <c r="J125" s="133">
        <v>2</v>
      </c>
      <c r="K125" s="132"/>
      <c r="L125" s="132" t="s">
        <v>61</v>
      </c>
      <c r="M125" s="132"/>
      <c r="N125" s="132" t="s">
        <v>61</v>
      </c>
      <c r="O125" s="132"/>
      <c r="P125" s="132">
        <v>2</v>
      </c>
      <c r="Q125" s="132">
        <f>(K125* M125* O125*P125) / (1000*1000*1000)</f>
        <v>0</v>
      </c>
      <c r="R125" s="132" t="s">
        <v>62</v>
      </c>
      <c r="S125" s="132">
        <f>F125*P125</f>
        <v>0</v>
      </c>
      <c r="T125" s="132">
        <f>0*P125</f>
        <v>0</v>
      </c>
      <c r="U125" s="134">
        <v>168.37</v>
      </c>
      <c r="V125" s="81">
        <f>U125*J125</f>
        <v>336.74</v>
      </c>
      <c r="W125" s="82"/>
      <c r="X125" s="83"/>
      <c r="Y125" s="84"/>
      <c r="Z125" s="82"/>
      <c r="AA125" s="84"/>
      <c r="AB125" s="84"/>
      <c r="AC125" s="84"/>
    </row>
    <row r="126" spans="1:29" x14ac:dyDescent="0.25">
      <c r="A126" s="79"/>
      <c r="B126" s="113"/>
      <c r="C126" s="113"/>
      <c r="D126" s="113"/>
      <c r="E126" s="113"/>
      <c r="F126" s="113"/>
      <c r="G126" s="113"/>
      <c r="H126" s="113"/>
      <c r="I126" s="113"/>
      <c r="J126" s="114"/>
      <c r="K126" s="113"/>
      <c r="L126" s="113"/>
      <c r="M126" s="113"/>
      <c r="N126" s="113"/>
      <c r="O126" s="113"/>
      <c r="P126" s="113"/>
      <c r="Q126" s="113"/>
      <c r="R126" s="113"/>
      <c r="S126" s="113"/>
      <c r="T126" s="113"/>
      <c r="U126" s="115"/>
      <c r="V126" s="80"/>
    </row>
    <row r="127" spans="1:29" x14ac:dyDescent="0.25">
      <c r="A127" s="79" t="s">
        <v>252</v>
      </c>
      <c r="B127" s="131" t="s">
        <v>253</v>
      </c>
      <c r="C127" s="132" t="s">
        <v>65</v>
      </c>
      <c r="D127" s="132" t="s">
        <v>254</v>
      </c>
      <c r="E127" s="132" t="s">
        <v>105</v>
      </c>
      <c r="F127" s="132"/>
      <c r="G127" s="132">
        <f>F127*J127</f>
        <v>0</v>
      </c>
      <c r="H127" s="132">
        <v>0.36000000000000004</v>
      </c>
      <c r="I127" s="132">
        <f>H127*J127</f>
        <v>0.36</v>
      </c>
      <c r="J127" s="133">
        <v>1</v>
      </c>
      <c r="K127" s="132"/>
      <c r="L127" s="132" t="s">
        <v>61</v>
      </c>
      <c r="M127" s="132"/>
      <c r="N127" s="132" t="s">
        <v>61</v>
      </c>
      <c r="O127" s="132"/>
      <c r="P127" s="132">
        <v>1</v>
      </c>
      <c r="Q127" s="132">
        <f>(K127* M127* O127*P127) / (1000*1000*1000)</f>
        <v>0</v>
      </c>
      <c r="R127" s="132" t="s">
        <v>62</v>
      </c>
      <c r="S127" s="132">
        <f>F127*P127</f>
        <v>0</v>
      </c>
      <c r="T127" s="132">
        <f>0*P127</f>
        <v>0</v>
      </c>
      <c r="U127" s="134">
        <v>139.32000000000002</v>
      </c>
      <c r="V127" s="81">
        <f>U127*J127</f>
        <v>139.32</v>
      </c>
      <c r="W127" s="82"/>
      <c r="X127" s="83"/>
      <c r="Y127" s="84"/>
      <c r="Z127" s="82"/>
      <c r="AA127" s="84"/>
      <c r="AB127" s="84"/>
      <c r="AC127" s="84"/>
    </row>
    <row r="128" spans="1:29" x14ac:dyDescent="0.25">
      <c r="A128" s="79"/>
      <c r="B128" s="113"/>
      <c r="C128" s="113"/>
      <c r="D128" s="113"/>
      <c r="E128" s="113"/>
      <c r="F128" s="113"/>
      <c r="G128" s="113"/>
      <c r="H128" s="113"/>
      <c r="I128" s="113"/>
      <c r="J128" s="114"/>
      <c r="K128" s="113"/>
      <c r="L128" s="113"/>
      <c r="M128" s="113"/>
      <c r="N128" s="113"/>
      <c r="O128" s="113"/>
      <c r="P128" s="113"/>
      <c r="Q128" s="113"/>
      <c r="R128" s="113"/>
      <c r="S128" s="113"/>
      <c r="T128" s="113"/>
      <c r="U128" s="115"/>
      <c r="V128" s="80"/>
    </row>
    <row r="129" spans="1:29" x14ac:dyDescent="0.25">
      <c r="A129" s="79" t="s">
        <v>255</v>
      </c>
      <c r="B129" s="131" t="s">
        <v>253</v>
      </c>
      <c r="C129" s="132" t="s">
        <v>65</v>
      </c>
      <c r="D129" s="132" t="s">
        <v>256</v>
      </c>
      <c r="E129" s="132" t="s">
        <v>109</v>
      </c>
      <c r="F129" s="132"/>
      <c r="G129" s="132">
        <f>F129*J129</f>
        <v>0</v>
      </c>
      <c r="H129" s="132">
        <v>0.42000000000000004</v>
      </c>
      <c r="I129" s="132">
        <f>H129*J129</f>
        <v>0.42</v>
      </c>
      <c r="J129" s="133">
        <v>1</v>
      </c>
      <c r="K129" s="132"/>
      <c r="L129" s="132" t="s">
        <v>61</v>
      </c>
      <c r="M129" s="132"/>
      <c r="N129" s="132" t="s">
        <v>61</v>
      </c>
      <c r="O129" s="132"/>
      <c r="P129" s="132">
        <v>1</v>
      </c>
      <c r="Q129" s="132">
        <f>(K129* M129* O129*P129) / (1000*1000*1000)</f>
        <v>0</v>
      </c>
      <c r="R129" s="132" t="s">
        <v>62</v>
      </c>
      <c r="S129" s="132">
        <f>F129*P129</f>
        <v>0</v>
      </c>
      <c r="T129" s="132">
        <f>0*P129</f>
        <v>0</v>
      </c>
      <c r="U129" s="134">
        <v>149.63999999999999</v>
      </c>
      <c r="V129" s="81">
        <f>U129*J129</f>
        <v>149.63999999999999</v>
      </c>
      <c r="W129" s="82"/>
      <c r="X129" s="83"/>
      <c r="Y129" s="84"/>
      <c r="Z129" s="82"/>
      <c r="AA129" s="84"/>
      <c r="AB129" s="84"/>
      <c r="AC129" s="84"/>
    </row>
    <row r="130" spans="1:29" x14ac:dyDescent="0.25">
      <c r="A130" s="79"/>
      <c r="B130" s="113"/>
      <c r="C130" s="113"/>
      <c r="D130" s="113"/>
      <c r="E130" s="113"/>
      <c r="F130" s="113"/>
      <c r="G130" s="113"/>
      <c r="H130" s="113"/>
      <c r="I130" s="113"/>
      <c r="J130" s="114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5"/>
      <c r="V130" s="80"/>
    </row>
    <row r="131" spans="1:29" x14ac:dyDescent="0.25">
      <c r="A131" s="79" t="s">
        <v>257</v>
      </c>
      <c r="B131" s="131" t="s">
        <v>258</v>
      </c>
      <c r="C131" s="132" t="s">
        <v>65</v>
      </c>
      <c r="D131" s="132" t="s">
        <v>259</v>
      </c>
      <c r="E131" s="132" t="s">
        <v>133</v>
      </c>
      <c r="F131" s="132">
        <v>0</v>
      </c>
      <c r="G131" s="132">
        <f>F131*J131</f>
        <v>0</v>
      </c>
      <c r="H131" s="132">
        <v>0.83000000000000007</v>
      </c>
      <c r="I131" s="132">
        <f>H131*J131</f>
        <v>2.4900000000000002</v>
      </c>
      <c r="J131" s="133">
        <v>3</v>
      </c>
      <c r="K131" s="132">
        <v>1500</v>
      </c>
      <c r="L131" s="132" t="s">
        <v>61</v>
      </c>
      <c r="M131" s="132">
        <v>800</v>
      </c>
      <c r="N131" s="132" t="s">
        <v>61</v>
      </c>
      <c r="O131" s="132">
        <v>370</v>
      </c>
      <c r="P131" s="132">
        <v>3</v>
      </c>
      <c r="Q131" s="132">
        <f>(K131* M131* O131*P131) / (1000*1000*1000)</f>
        <v>1.33</v>
      </c>
      <c r="R131" s="132" t="s">
        <v>62</v>
      </c>
      <c r="S131" s="132">
        <f>F131*P131</f>
        <v>0</v>
      </c>
      <c r="T131" s="132">
        <f>0*P131</f>
        <v>0</v>
      </c>
      <c r="U131" s="134">
        <v>232.2</v>
      </c>
      <c r="V131" s="81">
        <f>U131*J131</f>
        <v>696.6</v>
      </c>
      <c r="W131" s="82"/>
      <c r="X131" s="83"/>
      <c r="Y131" s="84"/>
      <c r="Z131" s="82"/>
      <c r="AA131" s="84"/>
      <c r="AB131" s="84"/>
      <c r="AC131" s="84"/>
    </row>
    <row r="132" spans="1:29" x14ac:dyDescent="0.25">
      <c r="A132" s="79"/>
      <c r="B132" s="113"/>
      <c r="C132" s="113"/>
      <c r="D132" s="113"/>
      <c r="E132" s="113"/>
      <c r="F132" s="113"/>
      <c r="G132" s="113"/>
      <c r="H132" s="113"/>
      <c r="I132" s="113"/>
      <c r="J132" s="114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5"/>
      <c r="V132" s="80"/>
    </row>
    <row r="133" spans="1:29" x14ac:dyDescent="0.25">
      <c r="A133" s="79" t="s">
        <v>260</v>
      </c>
      <c r="B133" s="131" t="s">
        <v>261</v>
      </c>
      <c r="C133" s="132" t="s">
        <v>65</v>
      </c>
      <c r="D133" s="132" t="s">
        <v>262</v>
      </c>
      <c r="E133" s="132" t="s">
        <v>263</v>
      </c>
      <c r="F133" s="132"/>
      <c r="G133" s="132">
        <f>F133*J133</f>
        <v>0</v>
      </c>
      <c r="H133" s="132">
        <v>0.59</v>
      </c>
      <c r="I133" s="132">
        <f>H133*J133</f>
        <v>1.18</v>
      </c>
      <c r="J133" s="133">
        <v>2</v>
      </c>
      <c r="K133" s="132"/>
      <c r="L133" s="132" t="s">
        <v>61</v>
      </c>
      <c r="M133" s="132"/>
      <c r="N133" s="132" t="s">
        <v>61</v>
      </c>
      <c r="O133" s="132"/>
      <c r="P133" s="132">
        <v>2</v>
      </c>
      <c r="Q133" s="132">
        <f>(K133* M133* O133*P133) / (1000*1000*1000)</f>
        <v>0</v>
      </c>
      <c r="R133" s="132" t="s">
        <v>62</v>
      </c>
      <c r="S133" s="132">
        <f>F133*P133</f>
        <v>0</v>
      </c>
      <c r="T133" s="132">
        <f>0*P133</f>
        <v>0</v>
      </c>
      <c r="U133" s="134">
        <v>231.99</v>
      </c>
      <c r="V133" s="81">
        <f>U133*J133</f>
        <v>463.98</v>
      </c>
      <c r="W133" s="82"/>
      <c r="X133" s="83"/>
      <c r="Y133" s="84"/>
      <c r="Z133" s="82"/>
      <c r="AA133" s="84"/>
      <c r="AB133" s="84"/>
      <c r="AC133" s="84"/>
    </row>
    <row r="134" spans="1:29" ht="15.75" thickBot="1" x14ac:dyDescent="0.3">
      <c r="A134" s="136"/>
      <c r="B134" s="137"/>
      <c r="C134" s="137"/>
      <c r="D134" s="137"/>
      <c r="E134" s="137"/>
      <c r="F134" s="137"/>
      <c r="G134" s="137"/>
      <c r="H134" s="137"/>
      <c r="I134" s="137"/>
      <c r="J134" s="138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9"/>
      <c r="V134" s="140"/>
    </row>
    <row r="135" spans="1:29" x14ac:dyDescent="0.25">
      <c r="A135" s="141" t="s">
        <v>264</v>
      </c>
      <c r="B135" s="152" t="s">
        <v>265</v>
      </c>
      <c r="C135" s="153" t="s">
        <v>65</v>
      </c>
      <c r="D135" s="153" t="s">
        <v>266</v>
      </c>
      <c r="E135" s="153" t="s">
        <v>267</v>
      </c>
      <c r="F135" s="153">
        <v>4.5</v>
      </c>
      <c r="G135" s="153">
        <f>F135*J135</f>
        <v>9</v>
      </c>
      <c r="H135" s="153">
        <v>0.1</v>
      </c>
      <c r="I135" s="153">
        <f>H135*J135</f>
        <v>0.2</v>
      </c>
      <c r="J135" s="154">
        <v>2</v>
      </c>
      <c r="K135" s="153">
        <v>296</v>
      </c>
      <c r="L135" s="153" t="s">
        <v>61</v>
      </c>
      <c r="M135" s="153">
        <v>520</v>
      </c>
      <c r="N135" s="153" t="s">
        <v>61</v>
      </c>
      <c r="O135" s="153">
        <v>1350</v>
      </c>
      <c r="P135" s="153">
        <v>2</v>
      </c>
      <c r="Q135" s="153">
        <f>(K135* M135* O135*P135) / (1000*1000*1000)</f>
        <v>0.42</v>
      </c>
      <c r="R135" s="153" t="s">
        <v>62</v>
      </c>
      <c r="S135" s="153">
        <f>F135*P135</f>
        <v>9</v>
      </c>
      <c r="T135" s="153">
        <f>9.5*P135</f>
        <v>19</v>
      </c>
      <c r="U135" s="155">
        <v>77.400000000000006</v>
      </c>
      <c r="V135" s="156">
        <f>U135*J135</f>
        <v>154.80000000000001</v>
      </c>
      <c r="W135" s="82"/>
      <c r="X135" s="83"/>
      <c r="Y135" s="84"/>
      <c r="Z135" s="82"/>
      <c r="AA135" s="84"/>
      <c r="AB135" s="84"/>
      <c r="AC135" s="84"/>
    </row>
    <row r="136" spans="1:29" x14ac:dyDescent="0.25">
      <c r="A136" s="79"/>
      <c r="B136" s="113"/>
      <c r="C136" s="113"/>
      <c r="D136" s="113"/>
      <c r="E136" s="113"/>
      <c r="F136" s="113"/>
      <c r="G136" s="113"/>
      <c r="H136" s="113"/>
      <c r="I136" s="113"/>
      <c r="J136" s="114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5"/>
      <c r="V136" s="80"/>
    </row>
    <row r="137" spans="1:29" x14ac:dyDescent="0.25">
      <c r="A137" s="79" t="s">
        <v>268</v>
      </c>
      <c r="B137" s="131" t="s">
        <v>269</v>
      </c>
      <c r="C137" s="132" t="s">
        <v>65</v>
      </c>
      <c r="D137" s="132" t="s">
        <v>270</v>
      </c>
      <c r="E137" s="132" t="s">
        <v>271</v>
      </c>
      <c r="F137" s="132"/>
      <c r="G137" s="132">
        <f>F137*J137</f>
        <v>0</v>
      </c>
      <c r="H137" s="132">
        <v>0.39</v>
      </c>
      <c r="I137" s="132">
        <f>H137*J137</f>
        <v>0.78</v>
      </c>
      <c r="J137" s="133">
        <v>2</v>
      </c>
      <c r="K137" s="132"/>
      <c r="L137" s="132" t="s">
        <v>61</v>
      </c>
      <c r="M137" s="132"/>
      <c r="N137" s="132" t="s">
        <v>61</v>
      </c>
      <c r="O137" s="132"/>
      <c r="P137" s="132">
        <v>2</v>
      </c>
      <c r="Q137" s="132">
        <f>(K137* M137* O137*P137) / (1000*1000*1000)</f>
        <v>0</v>
      </c>
      <c r="R137" s="132" t="s">
        <v>62</v>
      </c>
      <c r="S137" s="132">
        <f>F137*P137</f>
        <v>0</v>
      </c>
      <c r="T137" s="132">
        <f>0*P137</f>
        <v>0</v>
      </c>
      <c r="U137" s="134">
        <v>94.6</v>
      </c>
      <c r="V137" s="81">
        <f>U137*J137</f>
        <v>189.2</v>
      </c>
      <c r="W137" s="82"/>
      <c r="X137" s="83"/>
      <c r="Y137" s="84"/>
      <c r="Z137" s="82"/>
      <c r="AA137" s="84"/>
      <c r="AB137" s="84"/>
      <c r="AC137" s="84"/>
    </row>
    <row r="138" spans="1:29" x14ac:dyDescent="0.25">
      <c r="A138" s="79"/>
      <c r="B138" s="113"/>
      <c r="C138" s="113"/>
      <c r="D138" s="113"/>
      <c r="E138" s="113"/>
      <c r="F138" s="113"/>
      <c r="G138" s="113"/>
      <c r="H138" s="113"/>
      <c r="I138" s="113"/>
      <c r="J138" s="114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5"/>
      <c r="V138" s="80"/>
    </row>
    <row r="139" spans="1:29" x14ac:dyDescent="0.25">
      <c r="A139" s="79" t="s">
        <v>272</v>
      </c>
      <c r="B139" s="131" t="s">
        <v>273</v>
      </c>
      <c r="C139" s="132" t="s">
        <v>65</v>
      </c>
      <c r="D139" s="132" t="s">
        <v>274</v>
      </c>
      <c r="E139" s="132" t="s">
        <v>275</v>
      </c>
      <c r="F139" s="132"/>
      <c r="G139" s="132">
        <f>F139*J139</f>
        <v>0</v>
      </c>
      <c r="H139" s="132">
        <v>0.56000000000000005</v>
      </c>
      <c r="I139" s="132">
        <f>H139*J139</f>
        <v>0.56000000000000005</v>
      </c>
      <c r="J139" s="133">
        <v>1</v>
      </c>
      <c r="K139" s="132"/>
      <c r="L139" s="132" t="s">
        <v>61</v>
      </c>
      <c r="M139" s="132"/>
      <c r="N139" s="132" t="s">
        <v>61</v>
      </c>
      <c r="O139" s="132"/>
      <c r="P139" s="132">
        <v>1</v>
      </c>
      <c r="Q139" s="132">
        <f>(K139* M139* O139*P139) / (1000*1000*1000)</f>
        <v>0</v>
      </c>
      <c r="R139" s="132" t="s">
        <v>62</v>
      </c>
      <c r="S139" s="132">
        <f>F139*P139</f>
        <v>0</v>
      </c>
      <c r="T139" s="132">
        <f>0*P139</f>
        <v>0</v>
      </c>
      <c r="U139" s="134">
        <v>174.58</v>
      </c>
      <c r="V139" s="81">
        <f>U139*J139</f>
        <v>174.58</v>
      </c>
      <c r="W139" s="82"/>
      <c r="X139" s="83"/>
      <c r="Y139" s="84"/>
      <c r="Z139" s="82"/>
      <c r="AA139" s="84"/>
      <c r="AB139" s="84"/>
      <c r="AC139" s="84"/>
    </row>
    <row r="140" spans="1:29" x14ac:dyDescent="0.25">
      <c r="A140" s="79"/>
      <c r="B140" s="113"/>
      <c r="C140" s="113"/>
      <c r="D140" s="113"/>
      <c r="E140" s="113"/>
      <c r="F140" s="113"/>
      <c r="G140" s="113"/>
      <c r="H140" s="113"/>
      <c r="I140" s="113"/>
      <c r="J140" s="114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5"/>
      <c r="V140" s="80"/>
    </row>
    <row r="141" spans="1:29" x14ac:dyDescent="0.25">
      <c r="A141" s="79" t="s">
        <v>276</v>
      </c>
      <c r="B141" s="131" t="s">
        <v>273</v>
      </c>
      <c r="C141" s="132" t="s">
        <v>65</v>
      </c>
      <c r="D141" s="132" t="s">
        <v>277</v>
      </c>
      <c r="E141" s="132" t="s">
        <v>278</v>
      </c>
      <c r="F141" s="132"/>
      <c r="G141" s="132">
        <f>F141*J141</f>
        <v>0</v>
      </c>
      <c r="H141" s="132">
        <v>0.96</v>
      </c>
      <c r="I141" s="132">
        <f>H141*J141</f>
        <v>2.88</v>
      </c>
      <c r="J141" s="133">
        <v>3</v>
      </c>
      <c r="K141" s="132"/>
      <c r="L141" s="132" t="s">
        <v>61</v>
      </c>
      <c r="M141" s="132"/>
      <c r="N141" s="132" t="s">
        <v>61</v>
      </c>
      <c r="O141" s="132"/>
      <c r="P141" s="132">
        <v>3</v>
      </c>
      <c r="Q141" s="132">
        <f>(K141* M141* O141*P141) / (1000*1000*1000)</f>
        <v>0</v>
      </c>
      <c r="R141" s="132" t="s">
        <v>62</v>
      </c>
      <c r="S141" s="132">
        <f>F141*P141</f>
        <v>0</v>
      </c>
      <c r="T141" s="132">
        <f>0*P141</f>
        <v>0</v>
      </c>
      <c r="U141" s="134">
        <v>283.89999999999998</v>
      </c>
      <c r="V141" s="81">
        <f>U141*J141</f>
        <v>851.7</v>
      </c>
      <c r="W141" s="82"/>
      <c r="X141" s="83"/>
      <c r="Y141" s="84"/>
      <c r="Z141" s="82"/>
      <c r="AA141" s="84"/>
      <c r="AB141" s="84"/>
      <c r="AC141" s="84"/>
    </row>
    <row r="142" spans="1:29" x14ac:dyDescent="0.25">
      <c r="A142" s="79"/>
      <c r="B142" s="113"/>
      <c r="C142" s="113"/>
      <c r="D142" s="113"/>
      <c r="E142" s="113"/>
      <c r="F142" s="113"/>
      <c r="G142" s="113"/>
      <c r="H142" s="113"/>
      <c r="I142" s="113"/>
      <c r="J142" s="114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5"/>
      <c r="V142" s="80"/>
    </row>
    <row r="143" spans="1:29" x14ac:dyDescent="0.25">
      <c r="A143" s="79" t="s">
        <v>279</v>
      </c>
      <c r="B143" s="131" t="s">
        <v>273</v>
      </c>
      <c r="C143" s="132" t="s">
        <v>65</v>
      </c>
      <c r="D143" s="132" t="s">
        <v>280</v>
      </c>
      <c r="E143" s="132" t="s">
        <v>281</v>
      </c>
      <c r="F143" s="132"/>
      <c r="G143" s="132">
        <f>F143*J143</f>
        <v>0</v>
      </c>
      <c r="H143" s="132">
        <v>1.25</v>
      </c>
      <c r="I143" s="132">
        <f>H143*J143</f>
        <v>5</v>
      </c>
      <c r="J143" s="133">
        <v>4</v>
      </c>
      <c r="K143" s="132"/>
      <c r="L143" s="132" t="s">
        <v>61</v>
      </c>
      <c r="M143" s="132"/>
      <c r="N143" s="132" t="s">
        <v>61</v>
      </c>
      <c r="O143" s="132"/>
      <c r="P143" s="132">
        <v>4</v>
      </c>
      <c r="Q143" s="132">
        <f>(K143* M143* O143*P143) / (1000*1000*1000)</f>
        <v>0</v>
      </c>
      <c r="R143" s="132" t="s">
        <v>62</v>
      </c>
      <c r="S143" s="132">
        <f>F143*P143</f>
        <v>0</v>
      </c>
      <c r="T143" s="132">
        <f>0*P143</f>
        <v>0</v>
      </c>
      <c r="U143" s="134">
        <v>325.45</v>
      </c>
      <c r="V143" s="81">
        <f>U143*J143</f>
        <v>1301.8</v>
      </c>
      <c r="W143" s="82"/>
      <c r="X143" s="83"/>
      <c r="Y143" s="84"/>
      <c r="Z143" s="82"/>
      <c r="AA143" s="84"/>
      <c r="AB143" s="84"/>
      <c r="AC143" s="84"/>
    </row>
    <row r="144" spans="1:29" x14ac:dyDescent="0.25">
      <c r="A144" s="79"/>
      <c r="B144" s="113"/>
      <c r="C144" s="113"/>
      <c r="D144" s="113"/>
      <c r="E144" s="113"/>
      <c r="F144" s="113"/>
      <c r="G144" s="113"/>
      <c r="H144" s="113"/>
      <c r="I144" s="113"/>
      <c r="J144" s="114"/>
      <c r="K144" s="113"/>
      <c r="L144" s="113"/>
      <c r="M144" s="113"/>
      <c r="N144" s="113"/>
      <c r="O144" s="113"/>
      <c r="P144" s="113"/>
      <c r="Q144" s="113"/>
      <c r="R144" s="113"/>
      <c r="S144" s="113"/>
      <c r="T144" s="113"/>
      <c r="U144" s="115"/>
      <c r="V144" s="80"/>
    </row>
    <row r="145" spans="1:29" x14ac:dyDescent="0.25">
      <c r="A145" s="79" t="s">
        <v>282</v>
      </c>
      <c r="B145" s="131" t="s">
        <v>273</v>
      </c>
      <c r="C145" s="132" t="s">
        <v>65</v>
      </c>
      <c r="D145" s="132" t="s">
        <v>283</v>
      </c>
      <c r="E145" s="132" t="s">
        <v>284</v>
      </c>
      <c r="F145" s="132"/>
      <c r="G145" s="132">
        <f>F145*J145</f>
        <v>0</v>
      </c>
      <c r="H145" s="132">
        <v>1.44</v>
      </c>
      <c r="I145" s="132">
        <f>H145*J145</f>
        <v>2.88</v>
      </c>
      <c r="J145" s="133">
        <v>2</v>
      </c>
      <c r="K145" s="132"/>
      <c r="L145" s="132" t="s">
        <v>61</v>
      </c>
      <c r="M145" s="132"/>
      <c r="N145" s="132" t="s">
        <v>61</v>
      </c>
      <c r="O145" s="132"/>
      <c r="P145" s="132">
        <v>2</v>
      </c>
      <c r="Q145" s="132">
        <f>(K145* M145* O145*P145) / (1000*1000*1000)</f>
        <v>0</v>
      </c>
      <c r="R145" s="132" t="s">
        <v>62</v>
      </c>
      <c r="S145" s="132">
        <f>F145*P145</f>
        <v>0</v>
      </c>
      <c r="T145" s="132">
        <f>0*P145</f>
        <v>0</v>
      </c>
      <c r="U145" s="134">
        <v>363.96999999999997</v>
      </c>
      <c r="V145" s="81">
        <f>U145*J145</f>
        <v>727.94</v>
      </c>
      <c r="W145" s="82"/>
      <c r="X145" s="83"/>
      <c r="Y145" s="84"/>
      <c r="Z145" s="82"/>
      <c r="AA145" s="84"/>
      <c r="AB145" s="84"/>
      <c r="AC145" s="84"/>
    </row>
    <row r="146" spans="1:29" x14ac:dyDescent="0.25">
      <c r="A146" s="79"/>
      <c r="B146" s="113"/>
      <c r="C146" s="113"/>
      <c r="D146" s="113"/>
      <c r="E146" s="113"/>
      <c r="F146" s="113"/>
      <c r="G146" s="113"/>
      <c r="H146" s="113"/>
      <c r="I146" s="113"/>
      <c r="J146" s="114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5"/>
      <c r="V146" s="80"/>
    </row>
    <row r="147" spans="1:29" x14ac:dyDescent="0.25">
      <c r="A147" s="79" t="s">
        <v>285</v>
      </c>
      <c r="B147" s="131" t="s">
        <v>73</v>
      </c>
      <c r="C147" s="132" t="s">
        <v>58</v>
      </c>
      <c r="D147" s="132" t="s">
        <v>74</v>
      </c>
      <c r="E147" s="132" t="s">
        <v>75</v>
      </c>
      <c r="F147" s="132"/>
      <c r="G147" s="132">
        <f>F147*J147</f>
        <v>0</v>
      </c>
      <c r="H147" s="132"/>
      <c r="I147" s="132">
        <f>H147*J147</f>
        <v>0</v>
      </c>
      <c r="J147" s="133">
        <v>6</v>
      </c>
      <c r="K147" s="132"/>
      <c r="L147" s="132" t="s">
        <v>61</v>
      </c>
      <c r="M147" s="132"/>
      <c r="N147" s="132" t="s">
        <v>61</v>
      </c>
      <c r="O147" s="132"/>
      <c r="P147" s="132">
        <v>6</v>
      </c>
      <c r="Q147" s="132">
        <f>(K147* M147* O147*P147) / (1000*1000*1000)</f>
        <v>0</v>
      </c>
      <c r="R147" s="132" t="s">
        <v>62</v>
      </c>
      <c r="S147" s="132">
        <f>F147*P147</f>
        <v>0</v>
      </c>
      <c r="T147" s="132">
        <f>0*P147</f>
        <v>0</v>
      </c>
      <c r="U147" s="134">
        <v>21.54</v>
      </c>
      <c r="V147" s="81">
        <f>U147*J147</f>
        <v>129.24</v>
      </c>
      <c r="W147" s="82"/>
      <c r="X147" s="83"/>
      <c r="Y147" s="84"/>
      <c r="Z147" s="82"/>
      <c r="AA147" s="84"/>
      <c r="AB147" s="84"/>
      <c r="AC147" s="84"/>
    </row>
    <row r="148" spans="1:29" x14ac:dyDescent="0.25">
      <c r="A148" s="79"/>
      <c r="B148" s="113"/>
      <c r="C148" s="113"/>
      <c r="D148" s="113"/>
      <c r="E148" s="113"/>
      <c r="F148" s="113"/>
      <c r="G148" s="113"/>
      <c r="H148" s="113"/>
      <c r="I148" s="113"/>
      <c r="J148" s="114"/>
      <c r="K148" s="113"/>
      <c r="L148" s="113"/>
      <c r="M148" s="113"/>
      <c r="N148" s="113"/>
      <c r="O148" s="113"/>
      <c r="P148" s="113"/>
      <c r="Q148" s="113"/>
      <c r="R148" s="113"/>
      <c r="S148" s="113"/>
      <c r="T148" s="113"/>
      <c r="U148" s="115"/>
      <c r="V148" s="80"/>
    </row>
    <row r="149" spans="1:29" x14ac:dyDescent="0.25">
      <c r="A149" s="79" t="s">
        <v>286</v>
      </c>
      <c r="B149" s="131" t="s">
        <v>287</v>
      </c>
      <c r="C149" s="132" t="s">
        <v>65</v>
      </c>
      <c r="D149" s="132" t="s">
        <v>288</v>
      </c>
      <c r="E149" s="132" t="s">
        <v>289</v>
      </c>
      <c r="F149" s="132">
        <v>0</v>
      </c>
      <c r="G149" s="132">
        <f>F149*J149</f>
        <v>0</v>
      </c>
      <c r="H149" s="132">
        <v>0.42000000000000004</v>
      </c>
      <c r="I149" s="132">
        <f>H149*J149</f>
        <v>1.26</v>
      </c>
      <c r="J149" s="133">
        <v>3</v>
      </c>
      <c r="K149" s="132">
        <v>300</v>
      </c>
      <c r="L149" s="132" t="s">
        <v>61</v>
      </c>
      <c r="M149" s="132">
        <v>650</v>
      </c>
      <c r="N149" s="132" t="s">
        <v>61</v>
      </c>
      <c r="O149" s="132">
        <v>500</v>
      </c>
      <c r="P149" s="132">
        <v>3</v>
      </c>
      <c r="Q149" s="132">
        <f>(K149* M149* O149*P149) / (1000*1000*1000)</f>
        <v>0.28999999999999998</v>
      </c>
      <c r="R149" s="132" t="s">
        <v>62</v>
      </c>
      <c r="S149" s="132">
        <f>F149*P149</f>
        <v>0</v>
      </c>
      <c r="T149" s="132">
        <f>0*P149</f>
        <v>0</v>
      </c>
      <c r="U149" s="134">
        <v>118.25</v>
      </c>
      <c r="V149" s="81">
        <f>U149*J149</f>
        <v>354.75</v>
      </c>
      <c r="W149" s="82"/>
      <c r="X149" s="83"/>
      <c r="Y149" s="84"/>
      <c r="Z149" s="82"/>
      <c r="AA149" s="84"/>
      <c r="AB149" s="84"/>
      <c r="AC149" s="84"/>
    </row>
    <row r="150" spans="1:29" x14ac:dyDescent="0.25">
      <c r="A150" s="79"/>
      <c r="B150" s="113"/>
      <c r="C150" s="113"/>
      <c r="D150" s="113"/>
      <c r="E150" s="113"/>
      <c r="F150" s="113"/>
      <c r="G150" s="113"/>
      <c r="H150" s="113"/>
      <c r="I150" s="113"/>
      <c r="J150" s="114"/>
      <c r="K150" s="113"/>
      <c r="L150" s="113"/>
      <c r="M150" s="113"/>
      <c r="N150" s="113"/>
      <c r="O150" s="113"/>
      <c r="P150" s="113"/>
      <c r="Q150" s="113"/>
      <c r="R150" s="113"/>
      <c r="S150" s="113"/>
      <c r="T150" s="113"/>
      <c r="U150" s="115"/>
      <c r="V150" s="80"/>
    </row>
    <row r="151" spans="1:29" x14ac:dyDescent="0.25">
      <c r="A151" s="79" t="s">
        <v>290</v>
      </c>
      <c r="B151" s="131" t="s">
        <v>234</v>
      </c>
      <c r="C151" s="132" t="s">
        <v>65</v>
      </c>
      <c r="D151" s="132" t="s">
        <v>291</v>
      </c>
      <c r="E151" s="132" t="s">
        <v>292</v>
      </c>
      <c r="F151" s="132"/>
      <c r="G151" s="132">
        <f>F151*J151</f>
        <v>0</v>
      </c>
      <c r="H151" s="132">
        <v>1.01</v>
      </c>
      <c r="I151" s="132">
        <f>H151*J151</f>
        <v>2.02</v>
      </c>
      <c r="J151" s="133">
        <v>2</v>
      </c>
      <c r="K151" s="132"/>
      <c r="L151" s="132" t="s">
        <v>61</v>
      </c>
      <c r="M151" s="132"/>
      <c r="N151" s="132" t="s">
        <v>61</v>
      </c>
      <c r="O151" s="132"/>
      <c r="P151" s="132">
        <v>2</v>
      </c>
      <c r="Q151" s="132">
        <f>(K151* M151* O151*P151) / (1000*1000*1000)</f>
        <v>0</v>
      </c>
      <c r="R151" s="132" t="s">
        <v>62</v>
      </c>
      <c r="S151" s="132">
        <f>F151*P151</f>
        <v>0</v>
      </c>
      <c r="T151" s="132">
        <f>0*P151</f>
        <v>0</v>
      </c>
      <c r="U151" s="134">
        <v>169.23999999999998</v>
      </c>
      <c r="V151" s="81">
        <f>U151*J151</f>
        <v>338.48</v>
      </c>
      <c r="W151" s="82"/>
      <c r="X151" s="83"/>
      <c r="Y151" s="84"/>
      <c r="Z151" s="82"/>
      <c r="AA151" s="84"/>
      <c r="AB151" s="84"/>
      <c r="AC151" s="84"/>
    </row>
    <row r="152" spans="1:29" x14ac:dyDescent="0.25">
      <c r="A152" s="79"/>
      <c r="B152" s="113"/>
      <c r="C152" s="113"/>
      <c r="D152" s="113"/>
      <c r="E152" s="113"/>
      <c r="F152" s="113"/>
      <c r="G152" s="113"/>
      <c r="H152" s="113"/>
      <c r="I152" s="113"/>
      <c r="J152" s="114"/>
      <c r="K152" s="113"/>
      <c r="L152" s="113"/>
      <c r="M152" s="113"/>
      <c r="N152" s="113"/>
      <c r="O152" s="113"/>
      <c r="P152" s="113"/>
      <c r="Q152" s="113"/>
      <c r="R152" s="113"/>
      <c r="S152" s="113"/>
      <c r="T152" s="113"/>
      <c r="U152" s="115"/>
      <c r="V152" s="80"/>
    </row>
    <row r="153" spans="1:29" x14ac:dyDescent="0.25">
      <c r="A153" s="79" t="s">
        <v>293</v>
      </c>
      <c r="B153" s="131" t="s">
        <v>294</v>
      </c>
      <c r="C153" s="132" t="s">
        <v>65</v>
      </c>
      <c r="D153" s="132" t="s">
        <v>295</v>
      </c>
      <c r="E153" s="132" t="s">
        <v>292</v>
      </c>
      <c r="F153" s="132"/>
      <c r="G153" s="132">
        <f>F153*J153</f>
        <v>0</v>
      </c>
      <c r="H153" s="132">
        <v>1.01</v>
      </c>
      <c r="I153" s="132">
        <f>H153*J153</f>
        <v>1.01</v>
      </c>
      <c r="J153" s="133">
        <v>1</v>
      </c>
      <c r="K153" s="132"/>
      <c r="L153" s="132" t="s">
        <v>61</v>
      </c>
      <c r="M153" s="132"/>
      <c r="N153" s="132" t="s">
        <v>61</v>
      </c>
      <c r="O153" s="132"/>
      <c r="P153" s="132">
        <v>1</v>
      </c>
      <c r="Q153" s="132">
        <f>(K153* M153* O153*P153) / (1000*1000*1000)</f>
        <v>0</v>
      </c>
      <c r="R153" s="132" t="s">
        <v>62</v>
      </c>
      <c r="S153" s="132">
        <f>F153*P153</f>
        <v>0</v>
      </c>
      <c r="T153" s="132">
        <f>0*P153</f>
        <v>0</v>
      </c>
      <c r="U153" s="134">
        <v>180.73</v>
      </c>
      <c r="V153" s="81">
        <f>U153*J153</f>
        <v>180.73</v>
      </c>
      <c r="W153" s="82"/>
      <c r="X153" s="83"/>
      <c r="Y153" s="84"/>
      <c r="Z153" s="82"/>
      <c r="AA153" s="84"/>
      <c r="AB153" s="84"/>
      <c r="AC153" s="84"/>
    </row>
    <row r="154" spans="1:29" x14ac:dyDescent="0.25">
      <c r="A154" s="79"/>
      <c r="B154" s="113"/>
      <c r="C154" s="113"/>
      <c r="D154" s="113"/>
      <c r="E154" s="113"/>
      <c r="F154" s="113"/>
      <c r="G154" s="113"/>
      <c r="H154" s="113"/>
      <c r="I154" s="113"/>
      <c r="J154" s="114"/>
      <c r="K154" s="113"/>
      <c r="L154" s="113"/>
      <c r="M154" s="113"/>
      <c r="N154" s="113"/>
      <c r="O154" s="113"/>
      <c r="P154" s="113"/>
      <c r="Q154" s="113"/>
      <c r="R154" s="113"/>
      <c r="S154" s="113"/>
      <c r="T154" s="113"/>
      <c r="U154" s="115"/>
      <c r="V154" s="80"/>
    </row>
    <row r="155" spans="1:29" ht="18.75" x14ac:dyDescent="0.3">
      <c r="A155" s="79"/>
      <c r="B155" s="135" t="s">
        <v>296</v>
      </c>
      <c r="C155" s="113"/>
      <c r="D155" s="113"/>
      <c r="E155" s="113"/>
      <c r="F155" s="113"/>
      <c r="G155" s="113"/>
      <c r="H155" s="113"/>
      <c r="I155" s="113"/>
      <c r="J155" s="114"/>
      <c r="K155" s="113"/>
      <c r="L155" s="113"/>
      <c r="M155" s="113"/>
      <c r="N155" s="113"/>
      <c r="O155" s="113"/>
      <c r="P155" s="113"/>
      <c r="Q155" s="113"/>
      <c r="R155" s="113"/>
      <c r="S155" s="113"/>
      <c r="T155" s="113"/>
      <c r="U155" s="115"/>
      <c r="V155" s="80"/>
    </row>
    <row r="156" spans="1:29" ht="3.75" customHeight="1" x14ac:dyDescent="0.25">
      <c r="A156" s="79"/>
      <c r="B156" s="113"/>
      <c r="C156" s="113"/>
      <c r="D156" s="113"/>
      <c r="E156" s="113"/>
      <c r="F156" s="113"/>
      <c r="G156" s="113"/>
      <c r="H156" s="113"/>
      <c r="I156" s="113"/>
      <c r="J156" s="114"/>
      <c r="K156" s="113"/>
      <c r="L156" s="113"/>
      <c r="M156" s="113"/>
      <c r="N156" s="113"/>
      <c r="O156" s="113"/>
      <c r="P156" s="113"/>
      <c r="Q156" s="113"/>
      <c r="R156" s="113"/>
      <c r="S156" s="113"/>
      <c r="T156" s="113"/>
      <c r="U156" s="115"/>
      <c r="V156" s="80"/>
    </row>
    <row r="157" spans="1:29" x14ac:dyDescent="0.25">
      <c r="A157" s="174" t="s">
        <v>297</v>
      </c>
      <c r="B157" s="175" t="s">
        <v>298</v>
      </c>
      <c r="C157" s="176" t="s">
        <v>65</v>
      </c>
      <c r="D157" s="176" t="s">
        <v>299</v>
      </c>
      <c r="E157" s="176" t="s">
        <v>300</v>
      </c>
      <c r="F157" s="176">
        <v>0</v>
      </c>
      <c r="G157" s="176">
        <f>F157*J157</f>
        <v>0</v>
      </c>
      <c r="H157" s="176">
        <v>0.01</v>
      </c>
      <c r="I157" s="176">
        <f>H157*J157</f>
        <v>0.04</v>
      </c>
      <c r="J157" s="177">
        <v>4</v>
      </c>
      <c r="K157" s="176">
        <v>400</v>
      </c>
      <c r="L157" s="176" t="s">
        <v>61</v>
      </c>
      <c r="M157" s="176">
        <v>400</v>
      </c>
      <c r="N157" s="176" t="s">
        <v>61</v>
      </c>
      <c r="O157" s="176">
        <v>200</v>
      </c>
      <c r="P157" s="176">
        <v>4</v>
      </c>
      <c r="Q157" s="176">
        <f>(K157* M157* O157*P157) / (1000*1000*1000)</f>
        <v>0.13</v>
      </c>
      <c r="R157" s="176" t="s">
        <v>62</v>
      </c>
      <c r="S157" s="176">
        <f>F157*P157</f>
        <v>0</v>
      </c>
      <c r="T157" s="176">
        <f>0*P157</f>
        <v>0</v>
      </c>
      <c r="U157" s="178"/>
      <c r="V157" s="179" t="s">
        <v>383</v>
      </c>
      <c r="W157" s="82"/>
      <c r="X157" s="83"/>
      <c r="Y157" s="84"/>
      <c r="Z157" s="82"/>
      <c r="AA157" s="84"/>
      <c r="AB157" s="84"/>
      <c r="AC157" s="84"/>
    </row>
    <row r="158" spans="1:29" x14ac:dyDescent="0.25">
      <c r="A158" s="174"/>
      <c r="B158" s="180"/>
      <c r="C158" s="180"/>
      <c r="D158" s="180"/>
      <c r="E158" s="180"/>
      <c r="F158" s="180"/>
      <c r="G158" s="180"/>
      <c r="H158" s="180"/>
      <c r="I158" s="180"/>
      <c r="J158" s="181"/>
      <c r="K158" s="180"/>
      <c r="L158" s="180"/>
      <c r="M158" s="180"/>
      <c r="N158" s="180"/>
      <c r="O158" s="180"/>
      <c r="P158" s="180"/>
      <c r="Q158" s="180"/>
      <c r="R158" s="180"/>
      <c r="S158" s="180"/>
      <c r="T158" s="180"/>
      <c r="U158" s="182"/>
      <c r="V158" s="183"/>
    </row>
    <row r="159" spans="1:29" x14ac:dyDescent="0.25">
      <c r="A159" s="174" t="s">
        <v>301</v>
      </c>
      <c r="B159" s="175" t="s">
        <v>298</v>
      </c>
      <c r="C159" s="176" t="s">
        <v>65</v>
      </c>
      <c r="D159" s="176" t="s">
        <v>302</v>
      </c>
      <c r="E159" s="176" t="s">
        <v>303</v>
      </c>
      <c r="F159" s="176">
        <v>0</v>
      </c>
      <c r="G159" s="176">
        <f>F159*J159</f>
        <v>0</v>
      </c>
      <c r="H159" s="176">
        <v>0.05</v>
      </c>
      <c r="I159" s="176">
        <f>H159*J159</f>
        <v>0.9</v>
      </c>
      <c r="J159" s="177">
        <v>18</v>
      </c>
      <c r="K159" s="176">
        <v>400</v>
      </c>
      <c r="L159" s="176" t="s">
        <v>61</v>
      </c>
      <c r="M159" s="176">
        <v>1280</v>
      </c>
      <c r="N159" s="176" t="s">
        <v>61</v>
      </c>
      <c r="O159" s="176">
        <v>200</v>
      </c>
      <c r="P159" s="176">
        <v>18</v>
      </c>
      <c r="Q159" s="176">
        <f>(K159* M159* O159*P159) / (1000*1000*1000)</f>
        <v>1.84</v>
      </c>
      <c r="R159" s="176" t="s">
        <v>62</v>
      </c>
      <c r="S159" s="176">
        <f>F159*P159</f>
        <v>0</v>
      </c>
      <c r="T159" s="176">
        <f>0*P159</f>
        <v>0</v>
      </c>
      <c r="U159" s="178"/>
      <c r="V159" s="179" t="s">
        <v>383</v>
      </c>
      <c r="W159" s="82"/>
      <c r="X159" s="83"/>
      <c r="Y159" s="84"/>
      <c r="Z159" s="82"/>
      <c r="AA159" s="84"/>
      <c r="AB159" s="84"/>
      <c r="AC159" s="84"/>
    </row>
    <row r="160" spans="1:29" x14ac:dyDescent="0.25">
      <c r="A160" s="174"/>
      <c r="B160" s="180"/>
      <c r="C160" s="180"/>
      <c r="D160" s="180"/>
      <c r="E160" s="180"/>
      <c r="F160" s="180"/>
      <c r="G160" s="180"/>
      <c r="H160" s="180"/>
      <c r="I160" s="180"/>
      <c r="J160" s="181"/>
      <c r="K160" s="180"/>
      <c r="L160" s="180"/>
      <c r="M160" s="180"/>
      <c r="N160" s="180"/>
      <c r="O160" s="180"/>
      <c r="P160" s="180"/>
      <c r="Q160" s="180"/>
      <c r="R160" s="180"/>
      <c r="S160" s="180"/>
      <c r="T160" s="180"/>
      <c r="U160" s="182"/>
      <c r="V160" s="183"/>
    </row>
    <row r="161" spans="1:29" x14ac:dyDescent="0.25">
      <c r="A161" s="174" t="s">
        <v>304</v>
      </c>
      <c r="B161" s="175" t="s">
        <v>298</v>
      </c>
      <c r="C161" s="176" t="s">
        <v>65</v>
      </c>
      <c r="D161" s="176" t="s">
        <v>305</v>
      </c>
      <c r="E161" s="176" t="s">
        <v>306</v>
      </c>
      <c r="F161" s="176">
        <v>0</v>
      </c>
      <c r="G161" s="176">
        <f>F161*J161</f>
        <v>0</v>
      </c>
      <c r="H161" s="176">
        <v>0.08</v>
      </c>
      <c r="I161" s="176">
        <f>H161*J161</f>
        <v>0.96</v>
      </c>
      <c r="J161" s="177">
        <v>12</v>
      </c>
      <c r="K161" s="176">
        <v>400</v>
      </c>
      <c r="L161" s="176" t="s">
        <v>61</v>
      </c>
      <c r="M161" s="176">
        <v>1910</v>
      </c>
      <c r="N161" s="176" t="s">
        <v>61</v>
      </c>
      <c r="O161" s="176">
        <v>200</v>
      </c>
      <c r="P161" s="176">
        <v>12</v>
      </c>
      <c r="Q161" s="176">
        <f>(K161* M161* O161*P161) / (1000*1000*1000)</f>
        <v>1.83</v>
      </c>
      <c r="R161" s="176" t="s">
        <v>62</v>
      </c>
      <c r="S161" s="176">
        <f>F161*P161</f>
        <v>0</v>
      </c>
      <c r="T161" s="176">
        <f>0*P161</f>
        <v>0</v>
      </c>
      <c r="U161" s="178"/>
      <c r="V161" s="179" t="s">
        <v>383</v>
      </c>
      <c r="W161" s="82"/>
      <c r="X161" s="83"/>
      <c r="Y161" s="84"/>
      <c r="Z161" s="82"/>
      <c r="AA161" s="84"/>
      <c r="AB161" s="84"/>
      <c r="AC161" s="84"/>
    </row>
    <row r="162" spans="1:29" x14ac:dyDescent="0.25">
      <c r="A162" s="79"/>
      <c r="B162" s="113"/>
      <c r="C162" s="113"/>
      <c r="D162" s="113"/>
      <c r="E162" s="113"/>
      <c r="F162" s="113"/>
      <c r="G162" s="113"/>
      <c r="H162" s="113"/>
      <c r="I162" s="113"/>
      <c r="J162" s="114"/>
      <c r="K162" s="113"/>
      <c r="L162" s="113"/>
      <c r="M162" s="113"/>
      <c r="N162" s="113"/>
      <c r="O162" s="113"/>
      <c r="P162" s="113"/>
      <c r="Q162" s="113"/>
      <c r="R162" s="113"/>
      <c r="S162" s="113"/>
      <c r="T162" s="113"/>
      <c r="U162" s="115"/>
      <c r="V162" s="80"/>
    </row>
    <row r="163" spans="1:29" ht="18.75" x14ac:dyDescent="0.3">
      <c r="A163" s="79"/>
      <c r="B163" s="135" t="s">
        <v>307</v>
      </c>
      <c r="C163" s="113"/>
      <c r="D163" s="113"/>
      <c r="E163" s="113"/>
      <c r="F163" s="113"/>
      <c r="G163" s="113"/>
      <c r="H163" s="113"/>
      <c r="I163" s="113"/>
      <c r="J163" s="114"/>
      <c r="K163" s="113"/>
      <c r="L163" s="113"/>
      <c r="M163" s="113"/>
      <c r="N163" s="113"/>
      <c r="O163" s="113"/>
      <c r="P163" s="113"/>
      <c r="Q163" s="113"/>
      <c r="R163" s="113"/>
      <c r="S163" s="113"/>
      <c r="T163" s="113"/>
      <c r="U163" s="115"/>
      <c r="V163" s="80"/>
    </row>
    <row r="164" spans="1:29" ht="6" customHeight="1" x14ac:dyDescent="0.25">
      <c r="A164" s="79"/>
      <c r="B164" s="113"/>
      <c r="C164" s="113"/>
      <c r="D164" s="113"/>
      <c r="E164" s="113"/>
      <c r="F164" s="113"/>
      <c r="G164" s="113"/>
      <c r="H164" s="113"/>
      <c r="I164" s="113"/>
      <c r="J164" s="114"/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5"/>
      <c r="V164" s="80"/>
    </row>
    <row r="165" spans="1:29" x14ac:dyDescent="0.25">
      <c r="A165" s="79" t="s">
        <v>308</v>
      </c>
      <c r="B165" s="131" t="s">
        <v>194</v>
      </c>
      <c r="C165" s="132" t="s">
        <v>65</v>
      </c>
      <c r="D165" s="132" t="s">
        <v>195</v>
      </c>
      <c r="E165" s="132" t="s">
        <v>196</v>
      </c>
      <c r="F165" s="132">
        <v>75</v>
      </c>
      <c r="G165" s="132">
        <f>F165*J165</f>
        <v>150</v>
      </c>
      <c r="H165" s="132">
        <v>0.85000000000000009</v>
      </c>
      <c r="I165" s="132">
        <f>H165*J165</f>
        <v>1.7</v>
      </c>
      <c r="J165" s="133">
        <v>2</v>
      </c>
      <c r="K165" s="132">
        <v>900</v>
      </c>
      <c r="L165" s="132" t="s">
        <v>61</v>
      </c>
      <c r="M165" s="132">
        <v>890</v>
      </c>
      <c r="N165" s="132" t="s">
        <v>61</v>
      </c>
      <c r="O165" s="132">
        <v>1500</v>
      </c>
      <c r="P165" s="132">
        <v>2</v>
      </c>
      <c r="Q165" s="132">
        <f>(K165* M165* O165*P165) / (1000*1000*1000)</f>
        <v>2.4</v>
      </c>
      <c r="R165" s="132" t="s">
        <v>62</v>
      </c>
      <c r="S165" s="132">
        <f>F165*P165</f>
        <v>150</v>
      </c>
      <c r="T165" s="132">
        <f>85*P165</f>
        <v>170</v>
      </c>
      <c r="U165" s="134">
        <v>301</v>
      </c>
      <c r="V165" s="81">
        <f>U165*J165</f>
        <v>602</v>
      </c>
      <c r="W165" s="82"/>
      <c r="X165" s="83"/>
      <c r="Y165" s="84"/>
      <c r="Z165" s="82"/>
      <c r="AA165" s="84"/>
      <c r="AB165" s="84"/>
      <c r="AC165" s="84"/>
    </row>
    <row r="166" spans="1:29" x14ac:dyDescent="0.25">
      <c r="A166" s="79"/>
      <c r="B166" s="113"/>
      <c r="C166" s="113"/>
      <c r="D166" s="113"/>
      <c r="E166" s="113"/>
      <c r="F166" s="113"/>
      <c r="G166" s="113"/>
      <c r="H166" s="113"/>
      <c r="I166" s="113"/>
      <c r="J166" s="114"/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5"/>
      <c r="V166" s="80"/>
    </row>
    <row r="167" spans="1:29" x14ac:dyDescent="0.25">
      <c r="A167" s="79" t="s">
        <v>309</v>
      </c>
      <c r="B167" s="131" t="s">
        <v>310</v>
      </c>
      <c r="C167" s="132" t="s">
        <v>65</v>
      </c>
      <c r="D167" s="132" t="s">
        <v>311</v>
      </c>
      <c r="E167" s="132" t="s">
        <v>312</v>
      </c>
      <c r="F167" s="132">
        <v>0</v>
      </c>
      <c r="G167" s="132">
        <f>F167*J167</f>
        <v>0</v>
      </c>
      <c r="H167" s="132">
        <v>0.03</v>
      </c>
      <c r="I167" s="132">
        <f>H167*J167</f>
        <v>0.12</v>
      </c>
      <c r="J167" s="133">
        <v>4</v>
      </c>
      <c r="K167" s="132">
        <v>460</v>
      </c>
      <c r="L167" s="132" t="s">
        <v>61</v>
      </c>
      <c r="M167" s="132">
        <v>500</v>
      </c>
      <c r="N167" s="132" t="s">
        <v>61</v>
      </c>
      <c r="O167" s="132">
        <v>350</v>
      </c>
      <c r="P167" s="132">
        <v>4</v>
      </c>
      <c r="Q167" s="132">
        <f>(K167* M167* O167*P167) / (1000*1000*1000)</f>
        <v>0.32</v>
      </c>
      <c r="R167" s="132" t="s">
        <v>62</v>
      </c>
      <c r="S167" s="132">
        <f>F167*P167</f>
        <v>0</v>
      </c>
      <c r="T167" s="132">
        <f>0*P167</f>
        <v>0</v>
      </c>
      <c r="U167" s="134">
        <v>53.75</v>
      </c>
      <c r="V167" s="81">
        <f>U167*J167</f>
        <v>215</v>
      </c>
      <c r="W167" s="82"/>
      <c r="X167" s="83"/>
      <c r="Y167" s="84"/>
      <c r="Z167" s="82"/>
      <c r="AA167" s="84"/>
      <c r="AB167" s="84"/>
      <c r="AC167" s="84"/>
    </row>
    <row r="168" spans="1:29" x14ac:dyDescent="0.25">
      <c r="A168" s="79"/>
      <c r="B168" s="113"/>
      <c r="C168" s="113"/>
      <c r="D168" s="113"/>
      <c r="E168" s="113"/>
      <c r="F168" s="113"/>
      <c r="G168" s="113"/>
      <c r="H168" s="113"/>
      <c r="I168" s="113"/>
      <c r="J168" s="114"/>
      <c r="K168" s="113"/>
      <c r="L168" s="113"/>
      <c r="M168" s="113"/>
      <c r="N168" s="113"/>
      <c r="O168" s="113"/>
      <c r="P168" s="113"/>
      <c r="Q168" s="113"/>
      <c r="R168" s="113"/>
      <c r="S168" s="113"/>
      <c r="T168" s="113"/>
      <c r="U168" s="115"/>
      <c r="V168" s="80"/>
    </row>
    <row r="169" spans="1:29" x14ac:dyDescent="0.25">
      <c r="A169" s="79" t="s">
        <v>313</v>
      </c>
      <c r="B169" s="131" t="s">
        <v>197</v>
      </c>
      <c r="C169" s="132" t="s">
        <v>65</v>
      </c>
      <c r="D169" s="132" t="s">
        <v>314</v>
      </c>
      <c r="E169" s="132" t="s">
        <v>315</v>
      </c>
      <c r="F169" s="132">
        <v>79</v>
      </c>
      <c r="G169" s="132">
        <f>F169*J169</f>
        <v>158</v>
      </c>
      <c r="H169" s="132">
        <v>1.01</v>
      </c>
      <c r="I169" s="132">
        <f>H169*J169</f>
        <v>2.02</v>
      </c>
      <c r="J169" s="133">
        <v>2</v>
      </c>
      <c r="K169" s="132">
        <v>1600</v>
      </c>
      <c r="L169" s="132" t="s">
        <v>61</v>
      </c>
      <c r="M169" s="132">
        <v>890</v>
      </c>
      <c r="N169" s="132" t="s">
        <v>61</v>
      </c>
      <c r="O169" s="132">
        <v>1000</v>
      </c>
      <c r="P169" s="132">
        <v>2</v>
      </c>
      <c r="Q169" s="132">
        <f>(K169* M169* O169*P169) / (1000*1000*1000)</f>
        <v>2.85</v>
      </c>
      <c r="R169" s="132" t="s">
        <v>62</v>
      </c>
      <c r="S169" s="132">
        <f>F169*P169</f>
        <v>158</v>
      </c>
      <c r="T169" s="132">
        <f>89*P169</f>
        <v>178</v>
      </c>
      <c r="U169" s="134">
        <v>586.94999999999993</v>
      </c>
      <c r="V169" s="81">
        <f>U169*J169</f>
        <v>1173.9000000000001</v>
      </c>
      <c r="W169" s="82"/>
      <c r="X169" s="83"/>
      <c r="Y169" s="84"/>
      <c r="Z169" s="82"/>
      <c r="AA169" s="84"/>
      <c r="AB169" s="84"/>
      <c r="AC169" s="84"/>
    </row>
    <row r="170" spans="1:29" x14ac:dyDescent="0.25">
      <c r="A170" s="79"/>
      <c r="B170" s="113"/>
      <c r="C170" s="113"/>
      <c r="D170" s="113"/>
      <c r="E170" s="113"/>
      <c r="F170" s="113"/>
      <c r="G170" s="113"/>
      <c r="H170" s="113"/>
      <c r="I170" s="113"/>
      <c r="J170" s="114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5"/>
      <c r="V170" s="80"/>
    </row>
    <row r="171" spans="1:29" x14ac:dyDescent="0.25">
      <c r="A171" s="79" t="s">
        <v>316</v>
      </c>
      <c r="B171" s="131" t="s">
        <v>317</v>
      </c>
      <c r="C171" s="132" t="s">
        <v>65</v>
      </c>
      <c r="D171" s="132" t="s">
        <v>318</v>
      </c>
      <c r="E171" s="132" t="s">
        <v>319</v>
      </c>
      <c r="F171" s="132">
        <v>0</v>
      </c>
      <c r="G171" s="132">
        <f>F171*J171</f>
        <v>0</v>
      </c>
      <c r="H171" s="132">
        <v>0.25</v>
      </c>
      <c r="I171" s="132">
        <f>H171*J171</f>
        <v>0.5</v>
      </c>
      <c r="J171" s="133">
        <v>2</v>
      </c>
      <c r="K171" s="132">
        <v>1600</v>
      </c>
      <c r="L171" s="132" t="s">
        <v>61</v>
      </c>
      <c r="M171" s="132">
        <v>540</v>
      </c>
      <c r="N171" s="132" t="s">
        <v>61</v>
      </c>
      <c r="O171" s="132">
        <v>525</v>
      </c>
      <c r="P171" s="132">
        <v>2</v>
      </c>
      <c r="Q171" s="132">
        <f>(K171* M171* O171*P171) / (1000*1000*1000)</f>
        <v>0.91</v>
      </c>
      <c r="R171" s="132" t="s">
        <v>62</v>
      </c>
      <c r="S171" s="132">
        <f>F171*P171</f>
        <v>0</v>
      </c>
      <c r="T171" s="132">
        <f>0*P171</f>
        <v>0</v>
      </c>
      <c r="U171" s="134">
        <v>184.9</v>
      </c>
      <c r="V171" s="81">
        <f>U171*J171</f>
        <v>369.8</v>
      </c>
      <c r="W171" s="82"/>
      <c r="X171" s="83"/>
      <c r="Y171" s="84"/>
      <c r="Z171" s="82"/>
      <c r="AA171" s="84"/>
      <c r="AB171" s="84"/>
      <c r="AC171" s="84"/>
    </row>
    <row r="172" spans="1:29" x14ac:dyDescent="0.25">
      <c r="A172" s="79"/>
      <c r="B172" s="113"/>
      <c r="C172" s="113"/>
      <c r="D172" s="113"/>
      <c r="E172" s="113"/>
      <c r="F172" s="113"/>
      <c r="G172" s="113"/>
      <c r="H172" s="113"/>
      <c r="I172" s="113"/>
      <c r="J172" s="114"/>
      <c r="K172" s="113"/>
      <c r="L172" s="113"/>
      <c r="M172" s="113"/>
      <c r="N172" s="113"/>
      <c r="O172" s="113"/>
      <c r="P172" s="113"/>
      <c r="Q172" s="113"/>
      <c r="R172" s="113"/>
      <c r="S172" s="113"/>
      <c r="T172" s="113"/>
      <c r="U172" s="115"/>
      <c r="V172" s="80"/>
    </row>
    <row r="173" spans="1:29" x14ac:dyDescent="0.25">
      <c r="A173" s="79" t="s">
        <v>320</v>
      </c>
      <c r="B173" s="131" t="s">
        <v>321</v>
      </c>
      <c r="C173" s="132" t="s">
        <v>65</v>
      </c>
      <c r="D173" s="132" t="s">
        <v>322</v>
      </c>
      <c r="E173" s="132" t="s">
        <v>323</v>
      </c>
      <c r="F173" s="132">
        <v>0</v>
      </c>
      <c r="G173" s="132">
        <f>F173*J173</f>
        <v>0</v>
      </c>
      <c r="H173" s="132">
        <v>0</v>
      </c>
      <c r="I173" s="132">
        <f>H173*J173</f>
        <v>0</v>
      </c>
      <c r="J173" s="133">
        <v>2</v>
      </c>
      <c r="K173" s="132">
        <v>1600</v>
      </c>
      <c r="L173" s="132" t="s">
        <v>61</v>
      </c>
      <c r="M173" s="132">
        <v>100</v>
      </c>
      <c r="N173" s="132" t="s">
        <v>61</v>
      </c>
      <c r="O173" s="132">
        <v>150</v>
      </c>
      <c r="P173" s="132">
        <v>2</v>
      </c>
      <c r="Q173" s="132">
        <f>(K173* M173* O173*P173) / (1000*1000*1000)</f>
        <v>0.05</v>
      </c>
      <c r="R173" s="132" t="s">
        <v>62</v>
      </c>
      <c r="S173" s="132">
        <f>F173*P173</f>
        <v>0</v>
      </c>
      <c r="T173" s="132">
        <f>0*P173</f>
        <v>0</v>
      </c>
      <c r="U173" s="134">
        <v>124.7</v>
      </c>
      <c r="V173" s="81">
        <f>U173*J173</f>
        <v>249.4</v>
      </c>
      <c r="W173" s="82"/>
      <c r="X173" s="83"/>
      <c r="Y173" s="84"/>
      <c r="Z173" s="82"/>
      <c r="AA173" s="84"/>
      <c r="AB173" s="84"/>
      <c r="AC173" s="84"/>
    </row>
    <row r="174" spans="1:29" x14ac:dyDescent="0.25">
      <c r="A174" s="79"/>
      <c r="B174" s="113"/>
      <c r="C174" s="113"/>
      <c r="D174" s="113"/>
      <c r="E174" s="113"/>
      <c r="F174" s="113"/>
      <c r="G174" s="113"/>
      <c r="H174" s="113"/>
      <c r="I174" s="113"/>
      <c r="J174" s="114"/>
      <c r="K174" s="113"/>
      <c r="L174" s="113"/>
      <c r="M174" s="113"/>
      <c r="N174" s="113"/>
      <c r="O174" s="113"/>
      <c r="P174" s="113"/>
      <c r="Q174" s="113"/>
      <c r="R174" s="113"/>
      <c r="S174" s="113"/>
      <c r="T174" s="113"/>
      <c r="U174" s="115"/>
      <c r="V174" s="80"/>
    </row>
    <row r="175" spans="1:29" ht="15.75" thickBot="1" x14ac:dyDescent="0.3">
      <c r="A175" s="136" t="s">
        <v>324</v>
      </c>
      <c r="B175" s="147" t="s">
        <v>204</v>
      </c>
      <c r="C175" s="148" t="s">
        <v>65</v>
      </c>
      <c r="D175" s="148" t="s">
        <v>325</v>
      </c>
      <c r="E175" s="148" t="s">
        <v>326</v>
      </c>
      <c r="F175" s="148"/>
      <c r="G175" s="148">
        <f>F175*J175</f>
        <v>0</v>
      </c>
      <c r="H175" s="148">
        <v>1.1000000000000001</v>
      </c>
      <c r="I175" s="148">
        <f>H175*J175</f>
        <v>2.2000000000000002</v>
      </c>
      <c r="J175" s="149">
        <v>2</v>
      </c>
      <c r="K175" s="148"/>
      <c r="L175" s="148" t="s">
        <v>61</v>
      </c>
      <c r="M175" s="148"/>
      <c r="N175" s="148" t="s">
        <v>61</v>
      </c>
      <c r="O175" s="148"/>
      <c r="P175" s="148">
        <v>2</v>
      </c>
      <c r="Q175" s="148">
        <f>(K175* M175* O175*P175) / (1000*1000*1000)</f>
        <v>0</v>
      </c>
      <c r="R175" s="148" t="s">
        <v>62</v>
      </c>
      <c r="S175" s="148">
        <f>F175*P175</f>
        <v>0</v>
      </c>
      <c r="T175" s="148">
        <f>0*P175</f>
        <v>0</v>
      </c>
      <c r="U175" s="150">
        <v>438.6</v>
      </c>
      <c r="V175" s="151">
        <f>U175*J175</f>
        <v>877.2</v>
      </c>
      <c r="W175" s="82"/>
      <c r="X175" s="83"/>
      <c r="Y175" s="84"/>
      <c r="Z175" s="82"/>
      <c r="AA175" s="84"/>
      <c r="AB175" s="84"/>
      <c r="AC175" s="84"/>
    </row>
    <row r="176" spans="1:29" ht="8.25" customHeight="1" x14ac:dyDescent="0.25">
      <c r="A176" s="141"/>
      <c r="B176" s="143"/>
      <c r="C176" s="143"/>
      <c r="D176" s="143"/>
      <c r="E176" s="143"/>
      <c r="F176" s="143"/>
      <c r="G176" s="143"/>
      <c r="H176" s="143"/>
      <c r="I176" s="143"/>
      <c r="J176" s="144"/>
      <c r="K176" s="143"/>
      <c r="L176" s="143"/>
      <c r="M176" s="143"/>
      <c r="N176" s="143"/>
      <c r="O176" s="143"/>
      <c r="P176" s="143"/>
      <c r="Q176" s="143"/>
      <c r="R176" s="143"/>
      <c r="S176" s="143"/>
      <c r="T176" s="143"/>
      <c r="U176" s="145"/>
      <c r="V176" s="146"/>
    </row>
    <row r="177" spans="1:29" x14ac:dyDescent="0.25">
      <c r="A177" s="79" t="s">
        <v>327</v>
      </c>
      <c r="B177" s="131" t="s">
        <v>208</v>
      </c>
      <c r="C177" s="132" t="s">
        <v>65</v>
      </c>
      <c r="D177" s="132" t="s">
        <v>328</v>
      </c>
      <c r="E177" s="132" t="s">
        <v>329</v>
      </c>
      <c r="F177" s="132">
        <v>70</v>
      </c>
      <c r="G177" s="132">
        <f>F177*J177</f>
        <v>140</v>
      </c>
      <c r="H177" s="132">
        <v>0.60000000000000009</v>
      </c>
      <c r="I177" s="132">
        <f>H177*J177</f>
        <v>1.2</v>
      </c>
      <c r="J177" s="133">
        <v>2</v>
      </c>
      <c r="K177" s="132">
        <v>1000</v>
      </c>
      <c r="L177" s="132" t="s">
        <v>61</v>
      </c>
      <c r="M177" s="132">
        <v>890</v>
      </c>
      <c r="N177" s="132" t="s">
        <v>61</v>
      </c>
      <c r="O177" s="132">
        <v>1000</v>
      </c>
      <c r="P177" s="132">
        <v>2</v>
      </c>
      <c r="Q177" s="132">
        <f>(K177* M177* O177*P177) / (1000*1000*1000)</f>
        <v>1.78</v>
      </c>
      <c r="R177" s="132" t="s">
        <v>62</v>
      </c>
      <c r="S177" s="132">
        <f>F177*P177</f>
        <v>140</v>
      </c>
      <c r="T177" s="132">
        <f>80*P177</f>
        <v>160</v>
      </c>
      <c r="U177" s="134">
        <v>225.75</v>
      </c>
      <c r="V177" s="81">
        <f>U177*J177</f>
        <v>451.5</v>
      </c>
      <c r="W177" s="82"/>
      <c r="X177" s="83"/>
      <c r="Y177" s="84"/>
      <c r="Z177" s="82"/>
      <c r="AA177" s="84"/>
      <c r="AB177" s="84"/>
      <c r="AC177" s="84"/>
    </row>
    <row r="178" spans="1:29" x14ac:dyDescent="0.25">
      <c r="A178" s="79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3"/>
      <c r="R178" s="113"/>
      <c r="S178" s="113"/>
      <c r="T178" s="113"/>
      <c r="U178" s="115"/>
      <c r="V178" s="80"/>
    </row>
    <row r="179" spans="1:29" x14ac:dyDescent="0.25">
      <c r="A179" s="79" t="s">
        <v>330</v>
      </c>
      <c r="B179" s="131" t="s">
        <v>331</v>
      </c>
      <c r="C179" s="132" t="s">
        <v>65</v>
      </c>
      <c r="D179" s="132" t="s">
        <v>332</v>
      </c>
      <c r="E179" s="132" t="s">
        <v>333</v>
      </c>
      <c r="F179" s="132">
        <v>0</v>
      </c>
      <c r="G179" s="132">
        <f>F179*J179</f>
        <v>0</v>
      </c>
      <c r="H179" s="132">
        <v>0.15000000000000002</v>
      </c>
      <c r="I179" s="132">
        <f>H179*J179</f>
        <v>0.3</v>
      </c>
      <c r="J179" s="133">
        <v>2</v>
      </c>
      <c r="K179" s="132">
        <v>1000</v>
      </c>
      <c r="L179" s="132" t="s">
        <v>61</v>
      </c>
      <c r="M179" s="132">
        <v>540</v>
      </c>
      <c r="N179" s="132" t="s">
        <v>61</v>
      </c>
      <c r="O179" s="132">
        <v>525</v>
      </c>
      <c r="P179" s="132">
        <v>2</v>
      </c>
      <c r="Q179" s="132">
        <f>(K179* M179* O179*P179) / (1000*1000*1000)</f>
        <v>0.56999999999999995</v>
      </c>
      <c r="R179" s="132" t="s">
        <v>62</v>
      </c>
      <c r="S179" s="132">
        <f>F179*P179</f>
        <v>0</v>
      </c>
      <c r="T179" s="132">
        <f>0*P179</f>
        <v>0</v>
      </c>
      <c r="U179" s="134">
        <v>159.1</v>
      </c>
      <c r="V179" s="81">
        <f>U179*J179</f>
        <v>318.2</v>
      </c>
      <c r="W179" s="82"/>
      <c r="X179" s="83"/>
      <c r="Y179" s="84"/>
      <c r="Z179" s="82"/>
      <c r="AA179" s="84"/>
      <c r="AB179" s="84"/>
      <c r="AC179" s="84"/>
    </row>
    <row r="180" spans="1:29" x14ac:dyDescent="0.25">
      <c r="A180" s="79"/>
      <c r="B180" s="113"/>
      <c r="C180" s="113"/>
      <c r="D180" s="113"/>
      <c r="E180" s="113"/>
      <c r="F180" s="113"/>
      <c r="G180" s="113"/>
      <c r="H180" s="113"/>
      <c r="I180" s="113"/>
      <c r="J180" s="114"/>
      <c r="K180" s="113"/>
      <c r="L180" s="113"/>
      <c r="M180" s="113"/>
      <c r="N180" s="113"/>
      <c r="O180" s="113"/>
      <c r="P180" s="113"/>
      <c r="Q180" s="113"/>
      <c r="R180" s="113"/>
      <c r="S180" s="113"/>
      <c r="T180" s="113"/>
      <c r="U180" s="115"/>
      <c r="V180" s="80"/>
    </row>
    <row r="181" spans="1:29" x14ac:dyDescent="0.25">
      <c r="A181" s="79" t="s">
        <v>334</v>
      </c>
      <c r="B181" s="131" t="s">
        <v>335</v>
      </c>
      <c r="C181" s="132" t="s">
        <v>65</v>
      </c>
      <c r="D181" s="132" t="s">
        <v>336</v>
      </c>
      <c r="E181" s="132" t="s">
        <v>337</v>
      </c>
      <c r="F181" s="132"/>
      <c r="G181" s="132">
        <f>F181*J181</f>
        <v>0</v>
      </c>
      <c r="H181" s="132">
        <v>1.9</v>
      </c>
      <c r="I181" s="132">
        <f>H181*J181</f>
        <v>3.8</v>
      </c>
      <c r="J181" s="133">
        <v>2</v>
      </c>
      <c r="K181" s="132"/>
      <c r="L181" s="132" t="s">
        <v>61</v>
      </c>
      <c r="M181" s="132"/>
      <c r="N181" s="132" t="s">
        <v>61</v>
      </c>
      <c r="O181" s="132"/>
      <c r="P181" s="132">
        <v>2</v>
      </c>
      <c r="Q181" s="132">
        <f>(K181* M181* O181*P181) / (1000*1000*1000)</f>
        <v>0</v>
      </c>
      <c r="R181" s="132" t="s">
        <v>62</v>
      </c>
      <c r="S181" s="132">
        <f>F181*P181</f>
        <v>0</v>
      </c>
      <c r="T181" s="132">
        <f>0*P181</f>
        <v>0</v>
      </c>
      <c r="U181" s="134">
        <v>1881.25</v>
      </c>
      <c r="V181" s="81">
        <f>U181*J181</f>
        <v>3762.5</v>
      </c>
      <c r="W181" s="82"/>
      <c r="X181" s="83"/>
      <c r="Y181" s="84"/>
      <c r="Z181" s="82"/>
      <c r="AA181" s="84"/>
      <c r="AB181" s="84"/>
      <c r="AC181" s="84"/>
    </row>
    <row r="182" spans="1:29" x14ac:dyDescent="0.25">
      <c r="A182" s="79"/>
      <c r="B182" s="113"/>
      <c r="C182" s="113"/>
      <c r="D182" s="113"/>
      <c r="E182" s="113"/>
      <c r="F182" s="113"/>
      <c r="G182" s="113"/>
      <c r="H182" s="113"/>
      <c r="I182" s="113"/>
      <c r="J182" s="114"/>
      <c r="K182" s="113"/>
      <c r="L182" s="113"/>
      <c r="M182" s="113"/>
      <c r="N182" s="113"/>
      <c r="O182" s="113"/>
      <c r="P182" s="113"/>
      <c r="Q182" s="113"/>
      <c r="R182" s="113"/>
      <c r="S182" s="113"/>
      <c r="T182" s="113"/>
      <c r="U182" s="115"/>
      <c r="V182" s="80"/>
    </row>
    <row r="183" spans="1:29" x14ac:dyDescent="0.25">
      <c r="A183" s="79" t="s">
        <v>338</v>
      </c>
      <c r="B183" s="131" t="s">
        <v>339</v>
      </c>
      <c r="C183" s="132" t="s">
        <v>65</v>
      </c>
      <c r="D183" s="132" t="s">
        <v>340</v>
      </c>
      <c r="E183" s="132" t="s">
        <v>341</v>
      </c>
      <c r="F183" s="132"/>
      <c r="G183" s="132">
        <f>F183*J183</f>
        <v>0</v>
      </c>
      <c r="H183" s="132">
        <v>0.51</v>
      </c>
      <c r="I183" s="132">
        <f>H183*J183</f>
        <v>0.51</v>
      </c>
      <c r="J183" s="133">
        <v>1</v>
      </c>
      <c r="K183" s="132"/>
      <c r="L183" s="132" t="s">
        <v>61</v>
      </c>
      <c r="M183" s="132"/>
      <c r="N183" s="132" t="s">
        <v>61</v>
      </c>
      <c r="O183" s="132"/>
      <c r="P183" s="132">
        <v>1</v>
      </c>
      <c r="Q183" s="132">
        <f>(K183* M183* O183*P183) / (1000*1000*1000)</f>
        <v>0</v>
      </c>
      <c r="R183" s="132" t="s">
        <v>62</v>
      </c>
      <c r="S183" s="132">
        <f>F183*P183</f>
        <v>0</v>
      </c>
      <c r="T183" s="132">
        <f>0*P183</f>
        <v>0</v>
      </c>
      <c r="U183" s="134">
        <v>215.37</v>
      </c>
      <c r="V183" s="81">
        <f>U183*J183</f>
        <v>215.37</v>
      </c>
      <c r="W183" s="82"/>
      <c r="X183" s="83"/>
      <c r="Y183" s="84"/>
      <c r="Z183" s="82"/>
      <c r="AA183" s="84"/>
      <c r="AB183" s="84"/>
      <c r="AC183" s="84"/>
    </row>
    <row r="184" spans="1:29" x14ac:dyDescent="0.25">
      <c r="A184" s="79"/>
      <c r="B184" s="113"/>
      <c r="C184" s="113"/>
      <c r="D184" s="113"/>
      <c r="E184" s="113"/>
      <c r="F184" s="113"/>
      <c r="G184" s="113"/>
      <c r="H184" s="113"/>
      <c r="I184" s="113"/>
      <c r="J184" s="114"/>
      <c r="K184" s="113"/>
      <c r="L184" s="113"/>
      <c r="M184" s="113"/>
      <c r="N184" s="113"/>
      <c r="O184" s="113"/>
      <c r="P184" s="113"/>
      <c r="Q184" s="113"/>
      <c r="R184" s="113"/>
      <c r="S184" s="113"/>
      <c r="T184" s="113"/>
      <c r="U184" s="115"/>
      <c r="V184" s="80"/>
    </row>
    <row r="185" spans="1:29" x14ac:dyDescent="0.25">
      <c r="A185" s="79" t="s">
        <v>342</v>
      </c>
      <c r="B185" s="131" t="s">
        <v>343</v>
      </c>
      <c r="C185" s="132" t="s">
        <v>65</v>
      </c>
      <c r="D185" s="132" t="s">
        <v>344</v>
      </c>
      <c r="E185" s="132" t="s">
        <v>113</v>
      </c>
      <c r="F185" s="132">
        <v>0</v>
      </c>
      <c r="G185" s="132">
        <f>F185*J185</f>
        <v>0</v>
      </c>
      <c r="H185" s="132">
        <v>0.95000000000000007</v>
      </c>
      <c r="I185" s="132">
        <f>H185*J185</f>
        <v>0.95</v>
      </c>
      <c r="J185" s="133">
        <v>1</v>
      </c>
      <c r="K185" s="132">
        <v>1700</v>
      </c>
      <c r="L185" s="132" t="s">
        <v>61</v>
      </c>
      <c r="M185" s="132">
        <v>800</v>
      </c>
      <c r="N185" s="132" t="s">
        <v>61</v>
      </c>
      <c r="O185" s="132">
        <v>1000</v>
      </c>
      <c r="P185" s="132">
        <v>1</v>
      </c>
      <c r="Q185" s="132">
        <f>(K185* M185* O185*P185) / (1000*1000*1000)</f>
        <v>1.36</v>
      </c>
      <c r="R185" s="132" t="s">
        <v>62</v>
      </c>
      <c r="S185" s="132">
        <f>F185*P185</f>
        <v>0</v>
      </c>
      <c r="T185" s="132">
        <f>0*P185</f>
        <v>0</v>
      </c>
      <c r="U185" s="134">
        <v>369.8</v>
      </c>
      <c r="V185" s="81">
        <f>U185*J185</f>
        <v>369.8</v>
      </c>
      <c r="W185" s="82"/>
      <c r="X185" s="83"/>
      <c r="Y185" s="84"/>
      <c r="Z185" s="82"/>
      <c r="AA185" s="84"/>
      <c r="AB185" s="84"/>
      <c r="AC185" s="84"/>
    </row>
    <row r="186" spans="1:29" x14ac:dyDescent="0.25">
      <c r="A186" s="79"/>
      <c r="B186" s="113"/>
      <c r="C186" s="113"/>
      <c r="D186" s="113"/>
      <c r="E186" s="113"/>
      <c r="F186" s="113"/>
      <c r="G186" s="113"/>
      <c r="H186" s="113"/>
      <c r="I186" s="113"/>
      <c r="J186" s="114"/>
      <c r="K186" s="113"/>
      <c r="L186" s="113"/>
      <c r="M186" s="113"/>
      <c r="N186" s="113"/>
      <c r="O186" s="113"/>
      <c r="P186" s="113"/>
      <c r="Q186" s="113"/>
      <c r="R186" s="113"/>
      <c r="S186" s="113"/>
      <c r="T186" s="113"/>
      <c r="U186" s="115"/>
      <c r="V186" s="80"/>
    </row>
    <row r="187" spans="1:29" x14ac:dyDescent="0.25">
      <c r="A187" s="79" t="s">
        <v>345</v>
      </c>
      <c r="B187" s="131" t="s">
        <v>346</v>
      </c>
      <c r="C187" s="132" t="s">
        <v>65</v>
      </c>
      <c r="D187" s="132" t="s">
        <v>347</v>
      </c>
      <c r="E187" s="132" t="s">
        <v>348</v>
      </c>
      <c r="F187" s="132">
        <v>111</v>
      </c>
      <c r="G187" s="132">
        <f>F187*J187</f>
        <v>111</v>
      </c>
      <c r="H187" s="132">
        <v>1.1500000000000001</v>
      </c>
      <c r="I187" s="132">
        <f>H187*J187</f>
        <v>1.1499999999999999</v>
      </c>
      <c r="J187" s="133">
        <v>1</v>
      </c>
      <c r="K187" s="132">
        <v>817</v>
      </c>
      <c r="L187" s="132" t="s">
        <v>61</v>
      </c>
      <c r="M187" s="132">
        <v>988</v>
      </c>
      <c r="N187" s="132" t="s">
        <v>61</v>
      </c>
      <c r="O187" s="132">
        <v>1953</v>
      </c>
      <c r="P187" s="132">
        <v>1</v>
      </c>
      <c r="Q187" s="132">
        <f>(K187* M187* O187*P187) / (1000*1000*1000)</f>
        <v>1.58</v>
      </c>
      <c r="R187" s="132" t="s">
        <v>62</v>
      </c>
      <c r="S187" s="132">
        <f>F187*P187</f>
        <v>111</v>
      </c>
      <c r="T187" s="132">
        <f>121*P187</f>
        <v>121</v>
      </c>
      <c r="U187" s="134">
        <v>756.8</v>
      </c>
      <c r="V187" s="81">
        <f>U187*J187</f>
        <v>756.8</v>
      </c>
      <c r="W187" s="82"/>
      <c r="X187" s="83"/>
      <c r="Y187" s="84"/>
      <c r="Z187" s="82"/>
      <c r="AA187" s="84"/>
      <c r="AB187" s="84"/>
      <c r="AC187" s="84"/>
    </row>
    <row r="188" spans="1:29" x14ac:dyDescent="0.25">
      <c r="A188" s="79"/>
      <c r="B188" s="113"/>
      <c r="C188" s="113"/>
      <c r="D188" s="113"/>
      <c r="E188" s="113"/>
      <c r="F188" s="113"/>
      <c r="G188" s="113"/>
      <c r="H188" s="113"/>
      <c r="I188" s="113"/>
      <c r="J188" s="114"/>
      <c r="K188" s="113"/>
      <c r="L188" s="113"/>
      <c r="M188" s="113"/>
      <c r="N188" s="113"/>
      <c r="O188" s="113"/>
      <c r="P188" s="113"/>
      <c r="Q188" s="113"/>
      <c r="R188" s="113"/>
      <c r="S188" s="113"/>
      <c r="T188" s="113"/>
      <c r="U188" s="115"/>
      <c r="V188" s="80"/>
    </row>
    <row r="189" spans="1:29" x14ac:dyDescent="0.25">
      <c r="A189" s="79" t="s">
        <v>349</v>
      </c>
      <c r="B189" s="131" t="s">
        <v>350</v>
      </c>
      <c r="C189" s="132" t="s">
        <v>65</v>
      </c>
      <c r="D189" s="132" t="s">
        <v>351</v>
      </c>
      <c r="E189" s="132" t="s">
        <v>352</v>
      </c>
      <c r="F189" s="132"/>
      <c r="G189" s="132">
        <f>F189*J189</f>
        <v>0</v>
      </c>
      <c r="H189" s="132">
        <v>0.60000000000000009</v>
      </c>
      <c r="I189" s="132">
        <f>H189*J189</f>
        <v>0.6</v>
      </c>
      <c r="J189" s="133">
        <v>1</v>
      </c>
      <c r="K189" s="132"/>
      <c r="L189" s="132" t="s">
        <v>61</v>
      </c>
      <c r="M189" s="132"/>
      <c r="N189" s="132" t="s">
        <v>61</v>
      </c>
      <c r="O189" s="132"/>
      <c r="P189" s="132">
        <v>1</v>
      </c>
      <c r="Q189" s="132">
        <f>(K189* M189* O189*P189) / (1000*1000*1000)</f>
        <v>0</v>
      </c>
      <c r="R189" s="132" t="s">
        <v>62</v>
      </c>
      <c r="S189" s="132">
        <f>F189*P189</f>
        <v>0</v>
      </c>
      <c r="T189" s="132">
        <f>0*P189</f>
        <v>0</v>
      </c>
      <c r="U189" s="134">
        <v>232.19</v>
      </c>
      <c r="V189" s="81">
        <f>U189*J189</f>
        <v>232.19</v>
      </c>
      <c r="W189" s="82"/>
      <c r="X189" s="83"/>
      <c r="Y189" s="84"/>
      <c r="Z189" s="82"/>
      <c r="AA189" s="84"/>
      <c r="AB189" s="84"/>
      <c r="AC189" s="84"/>
    </row>
    <row r="190" spans="1:29" x14ac:dyDescent="0.25">
      <c r="A190" s="79"/>
      <c r="B190" s="113"/>
      <c r="C190" s="113"/>
      <c r="D190" s="113"/>
      <c r="E190" s="113"/>
      <c r="F190" s="113"/>
      <c r="G190" s="113"/>
      <c r="H190" s="113"/>
      <c r="I190" s="113"/>
      <c r="J190" s="114"/>
      <c r="K190" s="113"/>
      <c r="L190" s="113"/>
      <c r="M190" s="113"/>
      <c r="N190" s="113"/>
      <c r="O190" s="113"/>
      <c r="P190" s="113"/>
      <c r="Q190" s="113"/>
      <c r="R190" s="113"/>
      <c r="S190" s="113"/>
      <c r="T190" s="113"/>
      <c r="U190" s="115"/>
      <c r="V190" s="80"/>
    </row>
    <row r="191" spans="1:29" x14ac:dyDescent="0.25">
      <c r="A191" s="79" t="s">
        <v>353</v>
      </c>
      <c r="B191" s="131" t="s">
        <v>354</v>
      </c>
      <c r="C191" s="132" t="s">
        <v>65</v>
      </c>
      <c r="D191" s="132" t="s">
        <v>355</v>
      </c>
      <c r="E191" s="132" t="s">
        <v>356</v>
      </c>
      <c r="F191" s="132">
        <v>146</v>
      </c>
      <c r="G191" s="132">
        <f>F191*J191</f>
        <v>292</v>
      </c>
      <c r="H191" s="132">
        <v>1.83</v>
      </c>
      <c r="I191" s="132">
        <f>H191*J191</f>
        <v>3.66</v>
      </c>
      <c r="J191" s="133">
        <v>2</v>
      </c>
      <c r="K191" s="132">
        <v>1600</v>
      </c>
      <c r="L191" s="132" t="s">
        <v>61</v>
      </c>
      <c r="M191" s="132">
        <v>990</v>
      </c>
      <c r="N191" s="132" t="s">
        <v>61</v>
      </c>
      <c r="O191" s="132">
        <v>1520</v>
      </c>
      <c r="P191" s="132">
        <v>2</v>
      </c>
      <c r="Q191" s="132">
        <f>(K191* M191* O191*P191) / (1000*1000*1000)</f>
        <v>4.82</v>
      </c>
      <c r="R191" s="132" t="s">
        <v>62</v>
      </c>
      <c r="S191" s="132">
        <f>F191*P191</f>
        <v>292</v>
      </c>
      <c r="T191" s="132">
        <f>156*P191</f>
        <v>312</v>
      </c>
      <c r="U191" s="134">
        <v>860</v>
      </c>
      <c r="V191" s="81">
        <f>U191*J191</f>
        <v>1720</v>
      </c>
      <c r="W191" s="82"/>
      <c r="X191" s="83"/>
      <c r="Y191" s="84"/>
      <c r="Z191" s="82"/>
      <c r="AA191" s="84"/>
      <c r="AB191" s="84"/>
      <c r="AC191" s="84"/>
    </row>
    <row r="192" spans="1:29" x14ac:dyDescent="0.25">
      <c r="A192" s="79"/>
      <c r="B192" s="113"/>
      <c r="C192" s="113"/>
      <c r="D192" s="113"/>
      <c r="E192" s="113"/>
      <c r="F192" s="113"/>
      <c r="G192" s="113"/>
      <c r="H192" s="113"/>
      <c r="I192" s="113"/>
      <c r="J192" s="114"/>
      <c r="K192" s="113"/>
      <c r="L192" s="113"/>
      <c r="M192" s="113"/>
      <c r="N192" s="113"/>
      <c r="O192" s="113"/>
      <c r="P192" s="113"/>
      <c r="Q192" s="113"/>
      <c r="R192" s="113"/>
      <c r="S192" s="113"/>
      <c r="T192" s="113"/>
      <c r="U192" s="115"/>
      <c r="V192" s="80"/>
    </row>
    <row r="193" spans="1:29" ht="18.75" x14ac:dyDescent="0.3">
      <c r="A193" s="79"/>
      <c r="B193" s="135" t="s">
        <v>357</v>
      </c>
      <c r="C193" s="113"/>
      <c r="D193" s="113"/>
      <c r="E193" s="113"/>
      <c r="F193" s="113"/>
      <c r="G193" s="113"/>
      <c r="H193" s="113"/>
      <c r="I193" s="113"/>
      <c r="J193" s="114"/>
      <c r="K193" s="113"/>
      <c r="L193" s="113"/>
      <c r="M193" s="113"/>
      <c r="N193" s="113"/>
      <c r="O193" s="113"/>
      <c r="P193" s="113"/>
      <c r="Q193" s="113"/>
      <c r="R193" s="113"/>
      <c r="S193" s="113"/>
      <c r="T193" s="113"/>
      <c r="U193" s="115"/>
      <c r="V193" s="80"/>
    </row>
    <row r="194" spans="1:29" ht="4.5" customHeight="1" x14ac:dyDescent="0.25">
      <c r="A194" s="79"/>
      <c r="B194" s="113"/>
      <c r="C194" s="113"/>
      <c r="D194" s="113"/>
      <c r="E194" s="113"/>
      <c r="F194" s="113"/>
      <c r="G194" s="113"/>
      <c r="H194" s="113"/>
      <c r="I194" s="113"/>
      <c r="J194" s="114"/>
      <c r="K194" s="113"/>
      <c r="L194" s="113"/>
      <c r="M194" s="113"/>
      <c r="N194" s="113"/>
      <c r="O194" s="113"/>
      <c r="P194" s="113"/>
      <c r="Q194" s="113"/>
      <c r="R194" s="113"/>
      <c r="S194" s="113"/>
      <c r="T194" s="113"/>
      <c r="U194" s="115"/>
      <c r="V194" s="80"/>
    </row>
    <row r="195" spans="1:29" x14ac:dyDescent="0.25">
      <c r="A195" s="79" t="s">
        <v>358</v>
      </c>
      <c r="B195" s="131" t="s">
        <v>234</v>
      </c>
      <c r="C195" s="132" t="s">
        <v>65</v>
      </c>
      <c r="D195" s="132" t="s">
        <v>359</v>
      </c>
      <c r="E195" s="132" t="s">
        <v>352</v>
      </c>
      <c r="F195" s="132"/>
      <c r="G195" s="132">
        <f>F195*J195</f>
        <v>0</v>
      </c>
      <c r="H195" s="132">
        <v>0.60000000000000009</v>
      </c>
      <c r="I195" s="132">
        <f>H195*J195</f>
        <v>0.6</v>
      </c>
      <c r="J195" s="133">
        <v>1</v>
      </c>
      <c r="K195" s="132"/>
      <c r="L195" s="132" t="s">
        <v>61</v>
      </c>
      <c r="M195" s="132"/>
      <c r="N195" s="132" t="s">
        <v>61</v>
      </c>
      <c r="O195" s="132"/>
      <c r="P195" s="132">
        <v>1</v>
      </c>
      <c r="Q195" s="132">
        <f>(K195* M195* O195*P195) / (1000*1000*1000)</f>
        <v>0</v>
      </c>
      <c r="R195" s="132" t="s">
        <v>62</v>
      </c>
      <c r="S195" s="132">
        <f>F195*P195</f>
        <v>0</v>
      </c>
      <c r="T195" s="132">
        <f>0*P195</f>
        <v>0</v>
      </c>
      <c r="U195" s="134">
        <v>120.71000000000001</v>
      </c>
      <c r="V195" s="81">
        <f>U195*J195</f>
        <v>120.71</v>
      </c>
      <c r="W195" s="82"/>
      <c r="X195" s="83"/>
      <c r="Y195" s="84"/>
      <c r="Z195" s="82"/>
      <c r="AA195" s="84"/>
      <c r="AB195" s="84"/>
      <c r="AC195" s="84"/>
    </row>
    <row r="196" spans="1:29" x14ac:dyDescent="0.25">
      <c r="A196" s="79"/>
      <c r="B196" s="113"/>
      <c r="C196" s="113"/>
      <c r="D196" s="113"/>
      <c r="E196" s="113"/>
      <c r="F196" s="113"/>
      <c r="G196" s="113"/>
      <c r="H196" s="113"/>
      <c r="I196" s="113"/>
      <c r="J196" s="114"/>
      <c r="K196" s="113"/>
      <c r="L196" s="113"/>
      <c r="M196" s="113"/>
      <c r="N196" s="113"/>
      <c r="O196" s="113"/>
      <c r="P196" s="113"/>
      <c r="Q196" s="113"/>
      <c r="R196" s="113"/>
      <c r="S196" s="113"/>
      <c r="T196" s="113"/>
      <c r="U196" s="115"/>
      <c r="V196" s="80"/>
    </row>
    <row r="197" spans="1:29" x14ac:dyDescent="0.25">
      <c r="A197" s="79" t="s">
        <v>360</v>
      </c>
      <c r="B197" s="131" t="s">
        <v>361</v>
      </c>
      <c r="C197" s="132" t="s">
        <v>65</v>
      </c>
      <c r="D197" s="132" t="s">
        <v>362</v>
      </c>
      <c r="E197" s="132" t="s">
        <v>363</v>
      </c>
      <c r="F197" s="132">
        <v>0</v>
      </c>
      <c r="G197" s="132">
        <f>F197*J197</f>
        <v>0</v>
      </c>
      <c r="H197" s="132">
        <v>0.14000000000000001</v>
      </c>
      <c r="I197" s="132">
        <f>H197*J197</f>
        <v>0.14000000000000001</v>
      </c>
      <c r="J197" s="133">
        <v>1</v>
      </c>
      <c r="K197" s="132">
        <v>600</v>
      </c>
      <c r="L197" s="132" t="s">
        <v>61</v>
      </c>
      <c r="M197" s="132">
        <v>650</v>
      </c>
      <c r="N197" s="132" t="s">
        <v>61</v>
      </c>
      <c r="O197" s="132">
        <v>600</v>
      </c>
      <c r="P197" s="132">
        <v>1</v>
      </c>
      <c r="Q197" s="132">
        <f>(K197* M197* O197*P197) / (1000*1000*1000)</f>
        <v>0.23</v>
      </c>
      <c r="R197" s="132" t="s">
        <v>62</v>
      </c>
      <c r="S197" s="132">
        <f>F197*P197</f>
        <v>0</v>
      </c>
      <c r="T197" s="132">
        <f>0*P197</f>
        <v>0</v>
      </c>
      <c r="U197" s="134">
        <v>111.8</v>
      </c>
      <c r="V197" s="81">
        <f>U197*J197</f>
        <v>111.8</v>
      </c>
      <c r="W197" s="82"/>
      <c r="X197" s="83"/>
      <c r="Y197" s="84"/>
      <c r="Z197" s="82"/>
      <c r="AA197" s="84"/>
      <c r="AB197" s="84"/>
      <c r="AC197" s="84"/>
    </row>
    <row r="198" spans="1:29" x14ac:dyDescent="0.25">
      <c r="A198" s="79"/>
      <c r="B198" s="113"/>
      <c r="C198" s="113"/>
      <c r="D198" s="113"/>
      <c r="E198" s="113"/>
      <c r="F198" s="113"/>
      <c r="G198" s="113"/>
      <c r="H198" s="113"/>
      <c r="I198" s="113"/>
      <c r="J198" s="114"/>
      <c r="K198" s="113"/>
      <c r="L198" s="113"/>
      <c r="M198" s="113"/>
      <c r="N198" s="113"/>
      <c r="O198" s="113"/>
      <c r="P198" s="113"/>
      <c r="Q198" s="113"/>
      <c r="R198" s="113"/>
      <c r="S198" s="113"/>
      <c r="T198" s="113"/>
      <c r="U198" s="115"/>
      <c r="V198" s="80"/>
    </row>
    <row r="199" spans="1:29" x14ac:dyDescent="0.25">
      <c r="A199" s="79" t="s">
        <v>364</v>
      </c>
      <c r="B199" s="131" t="s">
        <v>294</v>
      </c>
      <c r="C199" s="132" t="s">
        <v>65</v>
      </c>
      <c r="D199" s="132" t="s">
        <v>295</v>
      </c>
      <c r="E199" s="132" t="s">
        <v>292</v>
      </c>
      <c r="F199" s="132"/>
      <c r="G199" s="132">
        <f>F199*J199</f>
        <v>0</v>
      </c>
      <c r="H199" s="132">
        <v>1.01</v>
      </c>
      <c r="I199" s="132">
        <f>H199*J199</f>
        <v>1.01</v>
      </c>
      <c r="J199" s="133">
        <v>1</v>
      </c>
      <c r="K199" s="132"/>
      <c r="L199" s="132" t="s">
        <v>61</v>
      </c>
      <c r="M199" s="132"/>
      <c r="N199" s="132" t="s">
        <v>61</v>
      </c>
      <c r="O199" s="132"/>
      <c r="P199" s="132">
        <v>1</v>
      </c>
      <c r="Q199" s="132">
        <f>(K199* M199* O199*P199) / (1000*1000*1000)</f>
        <v>0</v>
      </c>
      <c r="R199" s="132" t="s">
        <v>62</v>
      </c>
      <c r="S199" s="132">
        <f>F199*P199</f>
        <v>0</v>
      </c>
      <c r="T199" s="132">
        <f>0*P199</f>
        <v>0</v>
      </c>
      <c r="U199" s="134">
        <v>180.73</v>
      </c>
      <c r="V199" s="81">
        <f>U199*J199</f>
        <v>180.73</v>
      </c>
      <c r="W199" s="82"/>
      <c r="X199" s="83"/>
      <c r="Y199" s="84"/>
      <c r="Z199" s="82"/>
      <c r="AA199" s="84"/>
      <c r="AB199" s="84"/>
      <c r="AC199" s="84"/>
    </row>
    <row r="200" spans="1:29" x14ac:dyDescent="0.25">
      <c r="A200" s="79"/>
      <c r="B200" s="113"/>
      <c r="C200" s="113"/>
      <c r="D200" s="113"/>
      <c r="E200" s="113"/>
      <c r="F200" s="113"/>
      <c r="G200" s="113"/>
      <c r="H200" s="113"/>
      <c r="I200" s="113"/>
      <c r="J200" s="114"/>
      <c r="K200" s="113"/>
      <c r="L200" s="113"/>
      <c r="M200" s="113"/>
      <c r="N200" s="113"/>
      <c r="O200" s="113"/>
      <c r="P200" s="113"/>
      <c r="Q200" s="113"/>
      <c r="R200" s="113"/>
      <c r="S200" s="113"/>
      <c r="T200" s="113"/>
      <c r="U200" s="115"/>
      <c r="V200" s="80"/>
    </row>
    <row r="201" spans="1:29" x14ac:dyDescent="0.25">
      <c r="A201" s="79" t="s">
        <v>365</v>
      </c>
      <c r="B201" s="131" t="s">
        <v>241</v>
      </c>
      <c r="C201" s="132" t="s">
        <v>65</v>
      </c>
      <c r="D201" s="132" t="s">
        <v>242</v>
      </c>
      <c r="E201" s="132" t="s">
        <v>243</v>
      </c>
      <c r="F201" s="132"/>
      <c r="G201" s="132">
        <f>F201*J201</f>
        <v>0</v>
      </c>
      <c r="H201" s="132">
        <v>0.89</v>
      </c>
      <c r="I201" s="132">
        <f>H201*J201</f>
        <v>0.89</v>
      </c>
      <c r="J201" s="133">
        <v>1</v>
      </c>
      <c r="K201" s="132"/>
      <c r="L201" s="132" t="s">
        <v>61</v>
      </c>
      <c r="M201" s="132"/>
      <c r="N201" s="132" t="s">
        <v>61</v>
      </c>
      <c r="O201" s="132"/>
      <c r="P201" s="132">
        <v>1</v>
      </c>
      <c r="Q201" s="132">
        <f>(K201* M201* O201*P201) / (1000*1000*1000)</f>
        <v>0</v>
      </c>
      <c r="R201" s="132" t="s">
        <v>62</v>
      </c>
      <c r="S201" s="132">
        <f>F201*P201</f>
        <v>0</v>
      </c>
      <c r="T201" s="132">
        <f>0*P201</f>
        <v>0</v>
      </c>
      <c r="U201" s="134">
        <v>239.55</v>
      </c>
      <c r="V201" s="81">
        <f>U201*J201</f>
        <v>239.55</v>
      </c>
      <c r="W201" s="82"/>
      <c r="X201" s="83"/>
      <c r="Y201" s="84"/>
      <c r="Z201" s="82"/>
      <c r="AA201" s="84"/>
      <c r="AB201" s="84"/>
      <c r="AC201" s="84"/>
    </row>
    <row r="202" spans="1:29" x14ac:dyDescent="0.25">
      <c r="A202" s="79"/>
      <c r="B202" s="113"/>
      <c r="C202" s="113"/>
      <c r="D202" s="113"/>
      <c r="E202" s="113"/>
      <c r="F202" s="113"/>
      <c r="G202" s="113"/>
      <c r="H202" s="113"/>
      <c r="I202" s="113"/>
      <c r="J202" s="114"/>
      <c r="K202" s="113"/>
      <c r="L202" s="113"/>
      <c r="M202" s="113"/>
      <c r="N202" s="113"/>
      <c r="O202" s="113"/>
      <c r="P202" s="113"/>
      <c r="Q202" s="113"/>
      <c r="R202" s="113"/>
      <c r="S202" s="113"/>
      <c r="T202" s="113"/>
      <c r="U202" s="115"/>
      <c r="V202" s="80"/>
    </row>
    <row r="203" spans="1:29" x14ac:dyDescent="0.25">
      <c r="A203" s="79" t="s">
        <v>366</v>
      </c>
      <c r="B203" s="131" t="s">
        <v>245</v>
      </c>
      <c r="C203" s="132" t="s">
        <v>65</v>
      </c>
      <c r="D203" s="132" t="s">
        <v>246</v>
      </c>
      <c r="E203" s="132" t="s">
        <v>247</v>
      </c>
      <c r="F203" s="132">
        <v>4.8</v>
      </c>
      <c r="G203" s="132">
        <f>F203*J203</f>
        <v>4.8</v>
      </c>
      <c r="H203" s="132">
        <v>0.79</v>
      </c>
      <c r="I203" s="132">
        <f>H203*J203</f>
        <v>0.79</v>
      </c>
      <c r="J203" s="133">
        <v>1</v>
      </c>
      <c r="K203" s="132">
        <v>1600</v>
      </c>
      <c r="L203" s="132" t="s">
        <v>61</v>
      </c>
      <c r="M203" s="132">
        <v>540</v>
      </c>
      <c r="N203" s="132" t="s">
        <v>61</v>
      </c>
      <c r="O203" s="132">
        <v>1350</v>
      </c>
      <c r="P203" s="132">
        <v>1</v>
      </c>
      <c r="Q203" s="132">
        <f>(K203* M203* O203*P203) / (1000*1000*1000)</f>
        <v>1.17</v>
      </c>
      <c r="R203" s="132" t="s">
        <v>62</v>
      </c>
      <c r="S203" s="132">
        <f>F203*P203</f>
        <v>4.8</v>
      </c>
      <c r="T203" s="132">
        <f>9.8*P203</f>
        <v>9.8000000000000007</v>
      </c>
      <c r="U203" s="134">
        <v>66.649999999999991</v>
      </c>
      <c r="V203" s="81">
        <f>U203*J203</f>
        <v>66.650000000000006</v>
      </c>
      <c r="W203" s="82"/>
      <c r="X203" s="83"/>
      <c r="Y203" s="84"/>
      <c r="Z203" s="82"/>
      <c r="AA203" s="84"/>
      <c r="AB203" s="84"/>
      <c r="AC203" s="84"/>
    </row>
    <row r="204" spans="1:29" x14ac:dyDescent="0.25">
      <c r="A204" s="79"/>
      <c r="B204" s="113"/>
      <c r="C204" s="113"/>
      <c r="D204" s="113"/>
      <c r="E204" s="113"/>
      <c r="F204" s="113"/>
      <c r="G204" s="113"/>
      <c r="H204" s="113"/>
      <c r="I204" s="113"/>
      <c r="J204" s="114"/>
      <c r="K204" s="113"/>
      <c r="L204" s="113"/>
      <c r="M204" s="113"/>
      <c r="N204" s="113"/>
      <c r="O204" s="113"/>
      <c r="P204" s="113"/>
      <c r="Q204" s="113"/>
      <c r="R204" s="113"/>
      <c r="S204" s="113"/>
      <c r="T204" s="113"/>
      <c r="U204" s="115"/>
      <c r="V204" s="80"/>
    </row>
    <row r="205" spans="1:29" x14ac:dyDescent="0.25">
      <c r="A205" s="79" t="s">
        <v>367</v>
      </c>
      <c r="B205" s="131" t="s">
        <v>249</v>
      </c>
      <c r="C205" s="132" t="s">
        <v>65</v>
      </c>
      <c r="D205" s="132" t="s">
        <v>250</v>
      </c>
      <c r="E205" s="132" t="s">
        <v>251</v>
      </c>
      <c r="F205" s="132"/>
      <c r="G205" s="132">
        <f>F205*J205</f>
        <v>0</v>
      </c>
      <c r="H205" s="132">
        <v>0.5</v>
      </c>
      <c r="I205" s="132">
        <f>H205*J205</f>
        <v>0.5</v>
      </c>
      <c r="J205" s="133">
        <v>1</v>
      </c>
      <c r="K205" s="132"/>
      <c r="L205" s="132" t="s">
        <v>61</v>
      </c>
      <c r="M205" s="132"/>
      <c r="N205" s="132" t="s">
        <v>61</v>
      </c>
      <c r="O205" s="132"/>
      <c r="P205" s="132">
        <v>1</v>
      </c>
      <c r="Q205" s="132">
        <f>(K205* M205* O205*P205) / (1000*1000*1000)</f>
        <v>0</v>
      </c>
      <c r="R205" s="132" t="s">
        <v>62</v>
      </c>
      <c r="S205" s="132">
        <f>F205*P205</f>
        <v>0</v>
      </c>
      <c r="T205" s="132">
        <f>0*P205</f>
        <v>0</v>
      </c>
      <c r="U205" s="134">
        <v>168.37</v>
      </c>
      <c r="V205" s="81">
        <f>U205*J205</f>
        <v>168.37</v>
      </c>
      <c r="W205" s="82"/>
      <c r="X205" s="83"/>
      <c r="Y205" s="84"/>
      <c r="Z205" s="82"/>
      <c r="AA205" s="84"/>
      <c r="AB205" s="84"/>
      <c r="AC205" s="84"/>
    </row>
    <row r="206" spans="1:29" x14ac:dyDescent="0.25">
      <c r="A206" s="79"/>
      <c r="B206" s="113"/>
      <c r="C206" s="113"/>
      <c r="D206" s="113"/>
      <c r="E206" s="113"/>
      <c r="F206" s="113"/>
      <c r="G206" s="113"/>
      <c r="H206" s="113"/>
      <c r="I206" s="113"/>
      <c r="J206" s="114"/>
      <c r="K206" s="113"/>
      <c r="L206" s="113"/>
      <c r="M206" s="113"/>
      <c r="N206" s="113"/>
      <c r="O206" s="113"/>
      <c r="P206" s="113"/>
      <c r="Q206" s="113"/>
      <c r="R206" s="113"/>
      <c r="S206" s="113"/>
      <c r="T206" s="113"/>
      <c r="U206" s="115"/>
      <c r="V206" s="80"/>
    </row>
    <row r="207" spans="1:29" x14ac:dyDescent="0.25">
      <c r="A207" s="79" t="s">
        <v>368</v>
      </c>
      <c r="B207" s="131" t="s">
        <v>253</v>
      </c>
      <c r="C207" s="132" t="s">
        <v>65</v>
      </c>
      <c r="D207" s="132" t="s">
        <v>369</v>
      </c>
      <c r="E207" s="132" t="s">
        <v>370</v>
      </c>
      <c r="F207" s="132"/>
      <c r="G207" s="132">
        <f>F207*J207</f>
        <v>0</v>
      </c>
      <c r="H207" s="132">
        <v>0.45</v>
      </c>
      <c r="I207" s="132">
        <f>H207*J207</f>
        <v>0.45</v>
      </c>
      <c r="J207" s="133">
        <v>1</v>
      </c>
      <c r="K207" s="132"/>
      <c r="L207" s="132" t="s">
        <v>61</v>
      </c>
      <c r="M207" s="132"/>
      <c r="N207" s="132" t="s">
        <v>61</v>
      </c>
      <c r="O207" s="132"/>
      <c r="P207" s="132">
        <v>1</v>
      </c>
      <c r="Q207" s="132">
        <f>(K207* M207* O207*P207) / (1000*1000*1000)</f>
        <v>0</v>
      </c>
      <c r="R207" s="132" t="s">
        <v>62</v>
      </c>
      <c r="S207" s="132">
        <f>F207*P207</f>
        <v>0</v>
      </c>
      <c r="T207" s="132">
        <f>0*P207</f>
        <v>0</v>
      </c>
      <c r="U207" s="134">
        <v>149.63999999999999</v>
      </c>
      <c r="V207" s="81">
        <f>U207*J207</f>
        <v>149.63999999999999</v>
      </c>
      <c r="W207" s="82"/>
      <c r="X207" s="83"/>
      <c r="Y207" s="84"/>
      <c r="Z207" s="82"/>
      <c r="AA207" s="84"/>
      <c r="AB207" s="84"/>
      <c r="AC207" s="84"/>
    </row>
    <row r="208" spans="1:29" x14ac:dyDescent="0.25">
      <c r="A208" s="79"/>
      <c r="B208" s="113"/>
      <c r="C208" s="113"/>
      <c r="D208" s="113"/>
      <c r="E208" s="113"/>
      <c r="F208" s="113"/>
      <c r="G208" s="113"/>
      <c r="H208" s="113"/>
      <c r="I208" s="113"/>
      <c r="J208" s="114"/>
      <c r="K208" s="113"/>
      <c r="L208" s="113"/>
      <c r="M208" s="113"/>
      <c r="N208" s="113"/>
      <c r="O208" s="113"/>
      <c r="P208" s="113"/>
      <c r="Q208" s="113"/>
      <c r="R208" s="113"/>
      <c r="S208" s="113"/>
      <c r="T208" s="113"/>
      <c r="U208" s="115"/>
      <c r="V208" s="80"/>
    </row>
    <row r="209" spans="1:33" x14ac:dyDescent="0.25">
      <c r="A209" s="79" t="s">
        <v>371</v>
      </c>
      <c r="B209" s="131" t="s">
        <v>273</v>
      </c>
      <c r="C209" s="132" t="s">
        <v>65</v>
      </c>
      <c r="D209" s="132" t="s">
        <v>283</v>
      </c>
      <c r="E209" s="132" t="s">
        <v>284</v>
      </c>
      <c r="F209" s="132"/>
      <c r="G209" s="132">
        <f>F209*J209</f>
        <v>0</v>
      </c>
      <c r="H209" s="132">
        <v>1.44</v>
      </c>
      <c r="I209" s="132">
        <f>H209*J209</f>
        <v>4.32</v>
      </c>
      <c r="J209" s="133">
        <v>3</v>
      </c>
      <c r="K209" s="132"/>
      <c r="L209" s="132" t="s">
        <v>61</v>
      </c>
      <c r="M209" s="132"/>
      <c r="N209" s="132" t="s">
        <v>61</v>
      </c>
      <c r="O209" s="132"/>
      <c r="P209" s="132">
        <v>3</v>
      </c>
      <c r="Q209" s="132">
        <f>(K209* M209* O209*P209) / (1000*1000*1000)</f>
        <v>0</v>
      </c>
      <c r="R209" s="132" t="s">
        <v>62</v>
      </c>
      <c r="S209" s="132">
        <f>F209*P209</f>
        <v>0</v>
      </c>
      <c r="T209" s="132">
        <f>0*P209</f>
        <v>0</v>
      </c>
      <c r="U209" s="134">
        <v>363.96999999999997</v>
      </c>
      <c r="V209" s="81">
        <f>U209*J209</f>
        <v>1091.9100000000001</v>
      </c>
      <c r="W209" s="82"/>
      <c r="X209" s="83"/>
      <c r="Y209" s="84"/>
      <c r="Z209" s="82"/>
      <c r="AA209" s="84"/>
      <c r="AB209" s="84"/>
      <c r="AC209" s="84"/>
    </row>
    <row r="210" spans="1:33" x14ac:dyDescent="0.25">
      <c r="A210" s="79"/>
      <c r="B210" s="113"/>
      <c r="C210" s="113"/>
      <c r="D210" s="113"/>
      <c r="E210" s="113"/>
      <c r="F210" s="113"/>
      <c r="G210" s="113"/>
      <c r="H210" s="113"/>
      <c r="I210" s="113"/>
      <c r="J210" s="114"/>
      <c r="K210" s="113"/>
      <c r="L210" s="113"/>
      <c r="M210" s="113"/>
      <c r="N210" s="113"/>
      <c r="O210" s="113"/>
      <c r="P210" s="113"/>
      <c r="Q210" s="113"/>
      <c r="R210" s="113"/>
      <c r="S210" s="113"/>
      <c r="T210" s="113"/>
      <c r="U210" s="115"/>
      <c r="V210" s="80"/>
    </row>
    <row r="211" spans="1:33" x14ac:dyDescent="0.25">
      <c r="A211" s="79" t="s">
        <v>372</v>
      </c>
      <c r="B211" s="131" t="s">
        <v>373</v>
      </c>
      <c r="C211" s="132" t="s">
        <v>65</v>
      </c>
      <c r="D211" s="132" t="s">
        <v>374</v>
      </c>
      <c r="E211" s="132" t="s">
        <v>375</v>
      </c>
      <c r="F211" s="132">
        <v>0</v>
      </c>
      <c r="G211" s="132">
        <f>F211*J211</f>
        <v>0</v>
      </c>
      <c r="H211" s="132">
        <v>0.41000000000000003</v>
      </c>
      <c r="I211" s="132">
        <f>H211*J211</f>
        <v>2.0499999999999998</v>
      </c>
      <c r="J211" s="133">
        <v>5</v>
      </c>
      <c r="K211" s="132">
        <v>300</v>
      </c>
      <c r="L211" s="132" t="s">
        <v>61</v>
      </c>
      <c r="M211" s="132">
        <v>660</v>
      </c>
      <c r="N211" s="132" t="s">
        <v>61</v>
      </c>
      <c r="O211" s="132">
        <v>1860</v>
      </c>
      <c r="P211" s="132">
        <v>5</v>
      </c>
      <c r="Q211" s="132">
        <f>(K211* M211* O211*P211) / (1000*1000*1000)</f>
        <v>1.84</v>
      </c>
      <c r="R211" s="132" t="s">
        <v>62</v>
      </c>
      <c r="S211" s="132">
        <f>F211*P211</f>
        <v>0</v>
      </c>
      <c r="T211" s="132">
        <f>0*P211</f>
        <v>0</v>
      </c>
      <c r="U211" s="134">
        <v>135.45000000000002</v>
      </c>
      <c r="V211" s="81">
        <f>U211*J211</f>
        <v>677.25</v>
      </c>
      <c r="W211" s="82"/>
      <c r="X211" s="83"/>
      <c r="Y211" s="84"/>
      <c r="Z211" s="82"/>
      <c r="AA211" s="84"/>
      <c r="AB211" s="84"/>
      <c r="AC211" s="84"/>
    </row>
    <row r="212" spans="1:33" s="3" customFormat="1" ht="15.75" thickBot="1" x14ac:dyDescent="0.25">
      <c r="A212" s="92"/>
      <c r="B212" s="157"/>
      <c r="C212" s="158"/>
      <c r="D212" s="93"/>
      <c r="E212" s="94"/>
      <c r="F212" s="95"/>
      <c r="G212" s="95"/>
      <c r="H212" s="66"/>
      <c r="I212" s="68"/>
      <c r="J212" s="96"/>
      <c r="K212" s="85"/>
      <c r="L212" s="85"/>
      <c r="M212" s="85"/>
      <c r="N212" s="85"/>
      <c r="O212" s="85"/>
      <c r="P212" s="67"/>
      <c r="Q212" s="85"/>
      <c r="R212" s="85"/>
      <c r="S212" s="85"/>
      <c r="T212" s="86"/>
      <c r="U212" s="159"/>
      <c r="V212" s="160"/>
      <c r="W212" s="88"/>
      <c r="X212" s="71"/>
      <c r="Y212" s="88"/>
      <c r="Z212" s="88"/>
      <c r="AA212" s="71"/>
      <c r="AB212" s="88"/>
      <c r="AC212" s="89"/>
      <c r="AD212" s="90"/>
      <c r="AE212" s="88"/>
      <c r="AF212" s="88"/>
      <c r="AG212" s="91"/>
    </row>
    <row r="213" spans="1:33" s="3" customFormat="1" ht="16.5" customHeight="1" thickBot="1" x14ac:dyDescent="0.3">
      <c r="A213" s="97"/>
      <c r="B213" s="98"/>
      <c r="C213" s="98"/>
      <c r="D213" s="99"/>
      <c r="E213" s="162" t="s">
        <v>380</v>
      </c>
      <c r="F213" s="163"/>
      <c r="G213" s="163"/>
      <c r="H213" s="163"/>
      <c r="I213" s="163"/>
      <c r="J213" s="163"/>
      <c r="K213" s="163"/>
      <c r="L213" s="163"/>
      <c r="M213" s="163"/>
      <c r="N213" s="163"/>
      <c r="O213" s="163"/>
      <c r="P213" s="163"/>
      <c r="Q213" s="163"/>
      <c r="R213" s="163"/>
      <c r="S213" s="163"/>
      <c r="T213" s="163"/>
      <c r="U213" s="164"/>
      <c r="V213" s="161">
        <f>SUM(V12:V212)</f>
        <v>43531.93</v>
      </c>
      <c r="W213" s="87"/>
      <c r="X213" s="100"/>
      <c r="Y213" s="101"/>
      <c r="Z213" s="88"/>
      <c r="AA213" s="89"/>
      <c r="AB213" s="89"/>
      <c r="AC213" s="89"/>
      <c r="AD213" s="90"/>
      <c r="AE213" s="88"/>
      <c r="AF213" s="88"/>
      <c r="AG213" s="91"/>
    </row>
    <row r="214" spans="1:33" s="3" customFormat="1" ht="16.5" hidden="1" customHeight="1" thickBot="1" x14ac:dyDescent="0.3">
      <c r="A214" s="102"/>
      <c r="B214" s="5"/>
      <c r="C214" s="5"/>
      <c r="D214" s="5"/>
      <c r="E214" s="162" t="s">
        <v>376</v>
      </c>
      <c r="F214" s="163"/>
      <c r="G214" s="163"/>
      <c r="H214" s="163"/>
      <c r="I214" s="163"/>
      <c r="J214" s="163"/>
      <c r="K214" s="163"/>
      <c r="L214" s="163"/>
      <c r="M214" s="163"/>
      <c r="N214" s="163"/>
      <c r="O214" s="163"/>
      <c r="P214" s="163"/>
      <c r="Q214" s="163"/>
      <c r="R214" s="163"/>
      <c r="S214" s="163"/>
      <c r="T214" s="163"/>
      <c r="U214" s="164"/>
      <c r="V214" s="161">
        <v>0</v>
      </c>
      <c r="W214" s="87"/>
      <c r="X214" s="100"/>
      <c r="Y214" s="101"/>
      <c r="Z214" s="88"/>
      <c r="AA214" s="89"/>
      <c r="AB214" s="89"/>
      <c r="AC214" s="89"/>
      <c r="AD214" s="90"/>
      <c r="AE214" s="88"/>
      <c r="AF214" s="88"/>
      <c r="AG214" s="91"/>
    </row>
    <row r="215" spans="1:33" s="3" customFormat="1" ht="16.5" customHeight="1" thickBot="1" x14ac:dyDescent="0.3">
      <c r="A215" s="102"/>
      <c r="B215" s="5"/>
      <c r="C215" s="5"/>
      <c r="D215" s="5"/>
      <c r="E215" s="162" t="s">
        <v>381</v>
      </c>
      <c r="F215" s="163"/>
      <c r="G215" s="163"/>
      <c r="H215" s="163"/>
      <c r="I215" s="163"/>
      <c r="J215" s="163"/>
      <c r="K215" s="163"/>
      <c r="L215" s="163"/>
      <c r="M215" s="163"/>
      <c r="N215" s="163"/>
      <c r="O215" s="163"/>
      <c r="P215" s="163"/>
      <c r="Q215" s="163"/>
      <c r="R215" s="163"/>
      <c r="S215" s="163"/>
      <c r="T215" s="163"/>
      <c r="U215" s="164"/>
      <c r="V215" s="161">
        <f>(TOTAL_STR-ISKINTO_STR)*(18/100)</f>
        <v>7835.75</v>
      </c>
      <c r="W215" s="87"/>
      <c r="X215" s="100"/>
      <c r="Y215" s="101"/>
      <c r="Z215" s="88"/>
      <c r="AA215" s="89"/>
      <c r="AB215" s="89"/>
      <c r="AC215" s="89"/>
      <c r="AD215" s="90"/>
      <c r="AE215" s="88"/>
      <c r="AF215" s="88"/>
      <c r="AG215" s="91"/>
    </row>
    <row r="216" spans="1:33" s="3" customFormat="1" ht="16.5" hidden="1" customHeight="1" thickBot="1" x14ac:dyDescent="0.3">
      <c r="A216" s="102"/>
      <c r="B216" s="5"/>
      <c r="C216" s="5"/>
      <c r="D216" s="5"/>
      <c r="E216" s="162" t="s">
        <v>377</v>
      </c>
      <c r="F216" s="163"/>
      <c r="G216" s="163"/>
      <c r="H216" s="163"/>
      <c r="I216" s="163"/>
      <c r="J216" s="163"/>
      <c r="K216" s="163"/>
      <c r="L216" s="163"/>
      <c r="M216" s="163"/>
      <c r="N216" s="163"/>
      <c r="O216" s="163"/>
      <c r="P216" s="163"/>
      <c r="Q216" s="163"/>
      <c r="R216" s="163"/>
      <c r="S216" s="163"/>
      <c r="T216" s="163"/>
      <c r="U216" s="164"/>
      <c r="V216" s="161">
        <v>0</v>
      </c>
      <c r="W216" s="87"/>
      <c r="X216" s="100"/>
      <c r="Y216" s="101"/>
      <c r="Z216" s="88"/>
      <c r="AA216" s="89"/>
      <c r="AB216" s="89"/>
      <c r="AC216" s="89"/>
      <c r="AD216" s="90"/>
      <c r="AE216" s="88"/>
      <c r="AF216" s="88"/>
      <c r="AG216" s="91"/>
    </row>
    <row r="217" spans="1:33" s="3" customFormat="1" ht="16.5" hidden="1" customHeight="1" thickBot="1" x14ac:dyDescent="0.3">
      <c r="A217" s="102"/>
      <c r="B217" s="5"/>
      <c r="C217" s="5"/>
      <c r="D217" s="5"/>
      <c r="E217" s="162" t="s">
        <v>378</v>
      </c>
      <c r="F217" s="163"/>
      <c r="G217" s="163"/>
      <c r="H217" s="163"/>
      <c r="I217" s="163"/>
      <c r="J217" s="163"/>
      <c r="K217" s="163"/>
      <c r="L217" s="163"/>
      <c r="M217" s="163"/>
      <c r="N217" s="163"/>
      <c r="O217" s="163"/>
      <c r="P217" s="163"/>
      <c r="Q217" s="163"/>
      <c r="R217" s="163"/>
      <c r="S217" s="163"/>
      <c r="T217" s="163"/>
      <c r="U217" s="163"/>
      <c r="V217" s="161">
        <v>0</v>
      </c>
      <c r="W217" s="87"/>
      <c r="X217" s="100"/>
      <c r="Y217" s="101"/>
      <c r="Z217" s="88"/>
      <c r="AA217" s="89"/>
      <c r="AB217" s="89"/>
      <c r="AC217" s="89"/>
      <c r="AD217" s="90"/>
      <c r="AE217" s="88"/>
      <c r="AF217" s="88"/>
      <c r="AG217" s="91"/>
    </row>
    <row r="218" spans="1:33" s="3" customFormat="1" ht="16.5" hidden="1" customHeight="1" thickBot="1" x14ac:dyDescent="0.3">
      <c r="A218" s="102"/>
      <c r="B218" s="5"/>
      <c r="C218" s="5"/>
      <c r="D218" s="5"/>
      <c r="E218" s="162" t="s">
        <v>379</v>
      </c>
      <c r="F218" s="163"/>
      <c r="G218" s="163"/>
      <c r="H218" s="163"/>
      <c r="I218" s="163"/>
      <c r="J218" s="163"/>
      <c r="K218" s="163"/>
      <c r="L218" s="163"/>
      <c r="M218" s="163"/>
      <c r="N218" s="163"/>
      <c r="O218" s="163"/>
      <c r="P218" s="163"/>
      <c r="Q218" s="163"/>
      <c r="R218" s="163"/>
      <c r="S218" s="163"/>
      <c r="T218" s="163"/>
      <c r="U218" s="164"/>
      <c r="V218" s="161">
        <v>0</v>
      </c>
      <c r="W218" s="87"/>
      <c r="X218" s="100"/>
      <c r="Y218" s="101"/>
      <c r="Z218" s="88"/>
      <c r="AA218" s="89"/>
      <c r="AB218" s="89"/>
      <c r="AC218" s="89"/>
      <c r="AD218" s="90"/>
      <c r="AE218" s="88"/>
      <c r="AF218" s="88"/>
      <c r="AG218" s="91"/>
    </row>
    <row r="219" spans="1:33" s="3" customFormat="1" ht="15" customHeight="1" thickBot="1" x14ac:dyDescent="0.3">
      <c r="A219" s="103"/>
      <c r="B219" s="5"/>
      <c r="C219" s="5"/>
      <c r="D219" s="5"/>
      <c r="E219" s="162" t="s">
        <v>382</v>
      </c>
      <c r="F219" s="163"/>
      <c r="G219" s="163"/>
      <c r="H219" s="163"/>
      <c r="I219" s="163"/>
      <c r="J219" s="163"/>
      <c r="K219" s="163"/>
      <c r="L219" s="163"/>
      <c r="M219" s="163"/>
      <c r="N219" s="163"/>
      <c r="O219" s="163"/>
      <c r="P219" s="163"/>
      <c r="Q219" s="163"/>
      <c r="R219" s="163"/>
      <c r="S219" s="163"/>
      <c r="T219" s="163"/>
      <c r="U219" s="164"/>
      <c r="V219" s="161">
        <f>TOTAL_STR-ISKINTO_STR+KDV_STR+NKL_STR+EXTRA</f>
        <v>51367.68</v>
      </c>
      <c r="W219" s="104"/>
      <c r="X219" s="36"/>
      <c r="Y219" s="76"/>
      <c r="Z219" s="88"/>
      <c r="AA219" s="89"/>
      <c r="AB219" s="89"/>
      <c r="AC219" s="89"/>
      <c r="AD219" s="90"/>
      <c r="AE219" s="88"/>
      <c r="AF219" s="88"/>
      <c r="AG219" s="91"/>
    </row>
    <row r="220" spans="1:33" s="3" customFormat="1" ht="15.75" thickBot="1" x14ac:dyDescent="0.3">
      <c r="A220" s="105"/>
      <c r="B220" s="106"/>
      <c r="C220" s="106"/>
      <c r="D220" s="106"/>
      <c r="E220" s="106"/>
      <c r="F220" s="106"/>
      <c r="G220" s="106"/>
      <c r="H220" s="107"/>
      <c r="I220" s="107"/>
      <c r="J220" s="108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9"/>
      <c r="V220" s="110"/>
      <c r="W220" s="104"/>
      <c r="X220" s="111"/>
      <c r="Y220" s="34"/>
      <c r="Z220" s="88"/>
      <c r="AA220" s="89"/>
      <c r="AB220" s="89"/>
      <c r="AC220" s="89"/>
      <c r="AD220" s="90"/>
      <c r="AE220" s="88"/>
      <c r="AF220" s="88"/>
      <c r="AG220" s="91"/>
    </row>
    <row r="221" spans="1:33" s="3" customFormat="1" x14ac:dyDescent="0.25">
      <c r="A221" s="4"/>
      <c r="B221" s="5"/>
      <c r="C221" s="5"/>
      <c r="D221" s="5"/>
      <c r="E221" s="5"/>
      <c r="F221" s="5"/>
      <c r="G221" s="5"/>
      <c r="H221" s="5"/>
      <c r="I221" s="5"/>
      <c r="J221" s="6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  <c r="V221" s="7"/>
      <c r="W221" s="88"/>
      <c r="X221" s="112"/>
      <c r="Y221" s="89"/>
      <c r="Z221" s="88"/>
      <c r="AA221" s="89"/>
      <c r="AB221" s="89"/>
      <c r="AC221" s="89"/>
      <c r="AD221" s="90"/>
      <c r="AE221" s="88"/>
      <c r="AF221" s="88"/>
      <c r="AG221" s="91"/>
    </row>
  </sheetData>
  <sheetProtection selectLockedCells="1" selectUnlockedCells="1"/>
  <mergeCells count="10">
    <mergeCell ref="E216:U216"/>
    <mergeCell ref="E217:U217"/>
    <mergeCell ref="E218:U218"/>
    <mergeCell ref="E219:U219"/>
    <mergeCell ref="A1:V4"/>
    <mergeCell ref="K10:O10"/>
    <mergeCell ref="K11:O11"/>
    <mergeCell ref="E213:U213"/>
    <mergeCell ref="E214:U214"/>
    <mergeCell ref="E215:U215"/>
  </mergeCells>
  <conditionalFormatting sqref="U219:V1048576 Y9:Y1048576 U1:V213">
    <cfRule type="expression" dxfId="5" priority="1">
      <formula>IF(#REF!="EURO",TRUE,FALSE)</formula>
    </cfRule>
    <cfRule type="expression" dxfId="4" priority="2">
      <formula>IF(#REF!="USD",TRUE,FALSE)</formula>
    </cfRule>
    <cfRule type="expression" dxfId="3" priority="3">
      <formula>IF(#REF!="TL",TRUE,FALSE)</formula>
    </cfRule>
  </conditionalFormatting>
  <conditionalFormatting sqref="U214:V218">
    <cfRule type="expression" dxfId="2" priority="4">
      <formula>IF(#REF!="EURO",TRUE,FALSE)</formula>
    </cfRule>
    <cfRule type="expression" dxfId="1" priority="5">
      <formula>IF(#REF!="USD",TRUE,FALSE)</formula>
    </cfRule>
    <cfRule type="expression" dxfId="0" priority="6">
      <formula>IF(#REF!="TL",TRUE,FALSE)</formula>
    </cfRule>
  </conditionalFormatting>
  <printOptions verticalCentered="1"/>
  <pageMargins left="0.1965278" right="7.8472219999999995E-2" top="0.27569440000000001" bottom="0.3541667" header="0.51180550000000002" footer="0.1965278"/>
  <pageSetup paperSize="9" scale="93" fitToHeight="0" orientation="landscape" r:id="rId1"/>
  <headerFooter alignWithMargins="0">
    <oddFooter>&amp;C&amp;P /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</vt:i4>
      </vt:variant>
      <vt:variant>
        <vt:lpstr>Adlandırılmış Aralıklar</vt:lpstr>
      </vt:variant>
      <vt:variant>
        <vt:i4>14</vt:i4>
      </vt:variant>
    </vt:vector>
  </HeadingPairs>
  <TitlesOfParts>
    <vt:vector size="16" baseType="lpstr">
      <vt:lpstr>42-000000024-YH</vt:lpstr>
      <vt:lpstr>42-000000024-YH (2)</vt:lpstr>
      <vt:lpstr>'42-000000024-YH'!EXTRA</vt:lpstr>
      <vt:lpstr>'42-000000024-YH (2)'!EXTRA</vt:lpstr>
      <vt:lpstr>'42-000000024-YH'!ISKINTO_STR</vt:lpstr>
      <vt:lpstr>'42-000000024-YH (2)'!ISKINTO_STR</vt:lpstr>
      <vt:lpstr>'42-000000024-YH'!KDV_STR</vt:lpstr>
      <vt:lpstr>'42-000000024-YH (2)'!KDV_STR</vt:lpstr>
      <vt:lpstr>'42-000000024-YH'!NKL_STR</vt:lpstr>
      <vt:lpstr>'42-000000024-YH (2)'!NKL_STR</vt:lpstr>
      <vt:lpstr>'42-000000024-YH'!NKL_TOT_STR</vt:lpstr>
      <vt:lpstr>'42-000000024-YH (2)'!NKL_TOT_STR</vt:lpstr>
      <vt:lpstr>'42-000000024-YH'!SON_TOT_STR</vt:lpstr>
      <vt:lpstr>'42-000000024-YH (2)'!SON_TOT_STR</vt:lpstr>
      <vt:lpstr>'42-000000024-YH'!TOTAL_STR</vt:lpstr>
      <vt:lpstr>'42-000000024-YH (2)'!TOTAL_STR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Emp-Nawar</dc:creator>
  <cp:lastModifiedBy>Adem AKPINAR</cp:lastModifiedBy>
  <cp:lastPrinted>2020-06-08T08:42:33Z</cp:lastPrinted>
  <dcterms:created xsi:type="dcterms:W3CDTF">2012-04-17T06:31:54Z</dcterms:created>
  <dcterms:modified xsi:type="dcterms:W3CDTF">2020-06-08T11:52:19Z</dcterms:modified>
</cp:coreProperties>
</file>